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6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CAPEX M0-M2" sheetId="2" state="visible" r:id="rId2"/>
    <sheet xmlns:r="http://schemas.openxmlformats.org/officeDocument/2006/relationships" name="OPEX An 1" sheetId="3" state="visible" r:id="rId3"/>
    <sheet xmlns:r="http://schemas.openxmlformats.org/officeDocument/2006/relationships" name="OPEX An 2" sheetId="4" state="visible" r:id="rId4"/>
    <sheet xmlns:r="http://schemas.openxmlformats.org/officeDocument/2006/relationships" name="Recettes 24 mois" sheetId="5" state="visible" r:id="rId5"/>
    <sheet xmlns:r="http://schemas.openxmlformats.org/officeDocument/2006/relationships" name="P&amp;L 24 mois" sheetId="6" state="visible" r:id="rId6"/>
    <sheet xmlns:r="http://schemas.openxmlformats.org/officeDocument/2006/relationships" name="Cash flow ADR" sheetId="7" state="visible" r:id="rId7"/>
    <sheet xmlns:r="http://schemas.openxmlformats.org/officeDocument/2006/relationships" name="Scénario lean 5M" sheetId="8" state="visible" r:id="rId8"/>
    <sheet xmlns:r="http://schemas.openxmlformats.org/officeDocument/2006/relationships" name="Scénario ultra-lean 3M" sheetId="9" state="visible" r:id="rId9"/>
    <sheet xmlns:r="http://schemas.openxmlformats.org/officeDocument/2006/relationships" name="Autorisations ANATT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#\ ##0\ &quot;FCFA&quot;;[Red]\-#\ ##0\ &quot;FCFA&quot;;&quot;—&quot;"/>
    <numFmt numFmtId="165" formatCode="#\ ##0"/>
    <numFmt numFmtId="166" formatCode="# ##0"/>
  </numFmts>
  <fonts count="45">
    <font>
      <name val="Calibri"/>
      <family val="2"/>
      <color theme="1"/>
      <sz val="11"/>
      <scheme val="minor"/>
    </font>
    <font>
      <name val="Sora"/>
      <b val="1"/>
      <color rgb="FF1E3A8A"/>
      <sz val="16"/>
    </font>
    <font>
      <name val="Sora"/>
      <color theme="1"/>
      <sz val="11"/>
    </font>
    <font>
      <name val="Sora"/>
      <i val="1"/>
      <color rgb="FF64748B"/>
      <sz val="10"/>
    </font>
    <font>
      <name val="Sora"/>
      <b val="1"/>
      <color rgb="FF1E3A8A"/>
      <sz val="10"/>
    </font>
    <font>
      <name val="Sora"/>
      <sz val="10"/>
    </font>
    <font>
      <name val="Sora"/>
      <i val="1"/>
      <color rgb="FF64748B"/>
      <sz val="9"/>
    </font>
    <font>
      <name val="Sora"/>
      <b val="1"/>
      <color rgb="FFFFFFFF"/>
      <sz val="10"/>
    </font>
    <font>
      <name val="Sora"/>
      <b val="1"/>
      <sz val="10"/>
    </font>
    <font>
      <name val="Sora"/>
      <b val="1"/>
      <color rgb="FF1E3A8A"/>
      <sz val="11"/>
    </font>
    <font>
      <name val="Sora"/>
      <color rgb="FF000000"/>
      <sz val="11"/>
    </font>
    <font>
      <name val="Sora"/>
      <b val="1"/>
      <color rgb="FF92400E"/>
      <sz val="11"/>
    </font>
    <font>
      <name val="Sora"/>
      <b val="1"/>
      <color rgb="FF1E3A8A"/>
      <sz val="14"/>
    </font>
    <font>
      <name val="Sora"/>
      <b val="1"/>
      <sz val="11"/>
    </font>
    <font>
      <name val="Sora"/>
      <b val="1"/>
      <i val="1"/>
      <color rgb="FF1E3A8A"/>
      <sz val="11"/>
    </font>
    <font>
      <name val="Sora"/>
      <b val="1"/>
      <color rgb="FF065F46"/>
      <sz val="11"/>
    </font>
    <font>
      <name val="Sora"/>
      <b val="1"/>
      <i val="1"/>
      <sz val="11"/>
    </font>
    <font>
      <name val="Sora"/>
      <color rgb="FF065F46"/>
      <sz val="11"/>
    </font>
    <font>
      <name val="Sora"/>
      <color rgb="FFDC2626"/>
      <sz val="11"/>
    </font>
    <font>
      <name val="Sora"/>
      <b val="1"/>
      <color rgb="FFDC2626"/>
      <sz val="11"/>
    </font>
    <font>
      <name val="Sora"/>
      <i val="1"/>
      <sz val="11"/>
    </font>
    <font>
      <name val="Calibri"/>
      <family val="2"/>
      <i val="1"/>
      <color rgb="FF94A3B8"/>
      <sz val="9"/>
    </font>
    <font>
      <name val="Calibri"/>
      <family val="2"/>
      <i val="1"/>
      <color rgb="FF94A3B8"/>
      <sz val="11"/>
    </font>
    <font>
      <name val="Sora"/>
      <color rgb="FF64748B"/>
      <sz val="10"/>
    </font>
    <font>
      <name val="Sora"/>
      <color rgb="FF059669"/>
      <sz val="11"/>
    </font>
    <font>
      <name val="Sora"/>
      <b val="1"/>
      <color rgb="FF059669"/>
      <sz val="11"/>
    </font>
    <font>
      <b val="1"/>
      <color rgb="001E3A8A"/>
      <sz val="14"/>
    </font>
    <font>
      <i val="1"/>
      <color rgb="0064748B"/>
      <sz val="9"/>
    </font>
    <font>
      <b val="1"/>
      <color rgb="001E3A8A"/>
      <sz val="11"/>
    </font>
    <font>
      <color rgb="0064748B"/>
      <sz val="9"/>
    </font>
    <font>
      <b val="1"/>
      <color rgb="00FFFFFF"/>
      <sz val="10"/>
    </font>
    <font>
      <color rgb="00065F46"/>
      <sz val="9.5"/>
    </font>
    <font>
      <b val="1"/>
      <color rgb="00065F46"/>
      <sz val="9.5"/>
    </font>
    <font>
      <color rgb="00DC2626"/>
      <sz val="9.5"/>
    </font>
    <font>
      <b val="1"/>
      <color rgb="00DC2626"/>
      <sz val="9.5"/>
    </font>
    <font>
      <b val="1"/>
      <color rgb="001E3A8A"/>
      <sz val="10"/>
    </font>
    <font>
      <b val="1"/>
      <color rgb="001E3A8A"/>
      <sz val="9.5"/>
    </font>
    <font>
      <color rgb="0064748B"/>
      <sz val="9.5"/>
    </font>
    <font>
      <b val="1"/>
      <color rgb="0092400E"/>
      <sz val="9.5"/>
    </font>
    <font>
      <sz val="10"/>
    </font>
    <font>
      <color rgb="00000000"/>
      <sz val="10"/>
    </font>
    <font>
      <b val="1"/>
      <color rgb="0092400E"/>
    </font>
    <font>
      <i val="1"/>
      <color rgb="0064748B"/>
      <sz val="10"/>
    </font>
    <font>
      <b val="1"/>
      <color rgb="00065F46"/>
      <sz val="11"/>
    </font>
    <font>
      <color rgb="0064748B"/>
      <sz val="10"/>
    </font>
  </fonts>
  <fills count="18">
    <fill>
      <patternFill/>
    </fill>
    <fill>
      <patternFill patternType="gray125"/>
    </fill>
    <fill>
      <patternFill patternType="solid">
        <fgColor rgb="FFDBEAFE"/>
      </patternFill>
    </fill>
    <fill>
      <patternFill patternType="solid">
        <fgColor rgb="FF1E3A8A"/>
      </patternFill>
    </fill>
    <fill>
      <patternFill patternType="solid">
        <fgColor rgb="FFFEF3E2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1E3A8A"/>
      </patternFill>
    </fill>
    <fill>
      <patternFill patternType="solid">
        <fgColor rgb="FFFEE2E2"/>
      </patternFill>
    </fill>
    <fill>
      <patternFill patternType="solid">
        <fgColor rgb="FFFEF3E2"/>
      </patternFill>
    </fill>
    <fill>
      <patternFill patternType="solid">
        <fgColor rgb="00DBEAFE"/>
      </patternFill>
    </fill>
    <fill>
      <patternFill patternType="solid">
        <fgColor rgb="001E3A8A"/>
      </patternFill>
    </fill>
    <fill>
      <patternFill patternType="solid">
        <fgColor rgb="00FEF3E2"/>
      </patternFill>
    </fill>
    <fill>
      <patternFill patternType="solid">
        <fgColor rgb="00D1FAE5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0" fontId="8" fillId="0" borderId="2" applyAlignment="1" pivotButton="0" quotePrefix="0" xfId="0">
      <alignment vertical="center"/>
    </xf>
    <xf numFmtId="0" fontId="12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0" fontId="2" fillId="4" borderId="1" pivotButton="0" quotePrefix="0" xfId="0"/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/>
    </xf>
    <xf numFmtId="0" fontId="2" fillId="2" borderId="1" pivotButton="0" quotePrefix="0" xfId="0"/>
    <xf numFmtId="0" fontId="9" fillId="2" borderId="1" pivotButton="0" quotePrefix="0" xfId="0"/>
    <xf numFmtId="165" fontId="2" fillId="0" borderId="1" applyAlignment="1" pivotButton="0" quotePrefix="0" xfId="0">
      <alignment horizontal="right"/>
    </xf>
    <xf numFmtId="165" fontId="13" fillId="0" borderId="1" applyAlignment="1" pivotButton="0" quotePrefix="0" xfId="0">
      <alignment horizontal="right"/>
    </xf>
    <xf numFmtId="0" fontId="2" fillId="5" borderId="1" pivotButton="0" quotePrefix="0" xfId="0"/>
    <xf numFmtId="0" fontId="14" fillId="5" borderId="1" pivotButton="0" quotePrefix="0" xfId="0"/>
    <xf numFmtId="165" fontId="9" fillId="5" borderId="1" applyAlignment="1" pivotButton="0" quotePrefix="0" xfId="0">
      <alignment horizontal="right"/>
    </xf>
    <xf numFmtId="0" fontId="2" fillId="0" borderId="1" pivotButton="0" quotePrefix="0" xfId="0"/>
    <xf numFmtId="165" fontId="11" fillId="4" borderId="1" applyAlignment="1" pivotButton="0" quotePrefix="0" xfId="0">
      <alignment horizontal="right"/>
    </xf>
    <xf numFmtId="0" fontId="9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13" fillId="0" borderId="0" pivotButton="0" quotePrefix="0" xfId="0"/>
    <xf numFmtId="165" fontId="2" fillId="0" borderId="0" applyAlignment="1" pivotButton="0" quotePrefix="0" xfId="0">
      <alignment horizontal="right"/>
    </xf>
    <xf numFmtId="0" fontId="15" fillId="6" borderId="0" pivotButton="0" quotePrefix="0" xfId="0"/>
    <xf numFmtId="165" fontId="15" fillId="6" borderId="0" applyAlignment="1" pivotButton="0" quotePrefix="0" xfId="0">
      <alignment horizontal="right"/>
    </xf>
    <xf numFmtId="0" fontId="16" fillId="0" borderId="0" pivotButton="0" quotePrefix="0" xfId="0"/>
    <xf numFmtId="165" fontId="15" fillId="0" borderId="0" applyAlignment="1" pivotButton="0" quotePrefix="0" xfId="0">
      <alignment horizontal="right"/>
    </xf>
    <xf numFmtId="0" fontId="11" fillId="0" borderId="0" pivotButton="0" quotePrefix="0" xfId="0"/>
    <xf numFmtId="165" fontId="11" fillId="4" borderId="0" applyAlignment="1" pivotButton="0" quotePrefix="0" xfId="0">
      <alignment horizontal="right"/>
    </xf>
    <xf numFmtId="0" fontId="9" fillId="0" borderId="0" pivotButton="0" quotePrefix="0" xfId="0"/>
    <xf numFmtId="0" fontId="15" fillId="0" borderId="0" pivotButton="0" quotePrefix="0" xfId="0"/>
    <xf numFmtId="165" fontId="17" fillId="0" borderId="0" applyAlignment="1" pivotButton="0" quotePrefix="0" xfId="0">
      <alignment horizontal="right"/>
    </xf>
    <xf numFmtId="0" fontId="18" fillId="0" borderId="0" pivotButton="0" quotePrefix="0" xfId="0"/>
    <xf numFmtId="165" fontId="18" fillId="0" borderId="0" applyAlignment="1" pivotButton="0" quotePrefix="0" xfId="0">
      <alignment horizontal="right"/>
    </xf>
    <xf numFmtId="165" fontId="19" fillId="0" borderId="0" applyAlignment="1" pivotButton="0" quotePrefix="0" xfId="0">
      <alignment horizontal="right"/>
    </xf>
    <xf numFmtId="0" fontId="19" fillId="0" borderId="0" pivotButton="0" quotePrefix="0" xfId="0"/>
    <xf numFmtId="165" fontId="19" fillId="7" borderId="0" applyAlignment="1" pivotButton="0" quotePrefix="0" xfId="0">
      <alignment horizontal="right"/>
    </xf>
    <xf numFmtId="0" fontId="9" fillId="4" borderId="0" pivotButton="0" quotePrefix="0" xfId="0"/>
    <xf numFmtId="165" fontId="9" fillId="4" borderId="0" applyAlignment="1" pivotButton="0" quotePrefix="0" xfId="0">
      <alignment horizontal="right"/>
    </xf>
    <xf numFmtId="0" fontId="20" fillId="0" borderId="0" pivotButton="0" quotePrefix="0" xfId="0"/>
    <xf numFmtId="165" fontId="20" fillId="0" borderId="0" applyAlignment="1" pivotButton="0" quotePrefix="0" xfId="0">
      <alignment horizontal="right"/>
    </xf>
    <xf numFmtId="0" fontId="9" fillId="2" borderId="0" pivotButton="0" quotePrefix="0" xfId="0"/>
    <xf numFmtId="165" fontId="9" fillId="2" borderId="0" applyAlignment="1" pivotButton="0" quotePrefix="0" xfId="0">
      <alignment horizontal="right"/>
    </xf>
    <xf numFmtId="0" fontId="21" fillId="8" borderId="1" applyAlignment="1" pivotButton="0" quotePrefix="0" xfId="0">
      <alignment vertical="center" wrapText="1"/>
    </xf>
    <xf numFmtId="165" fontId="22" fillId="8" borderId="1" applyAlignment="1" pivotButton="0" quotePrefix="0" xfId="0">
      <alignment horizontal="right"/>
    </xf>
    <xf numFmtId="0" fontId="6" fillId="0" borderId="2" applyAlignment="1" pivotButton="0" quotePrefix="0" xfId="0">
      <alignment vertical="center" wrapText="1"/>
    </xf>
    <xf numFmtId="0" fontId="0" fillId="0" borderId="4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pivotButton="0" quotePrefix="0" xfId="0"/>
    <xf numFmtId="0" fontId="2" fillId="0" borderId="0" pivotButton="0" quotePrefix="0" xfId="0"/>
    <xf numFmtId="0" fontId="9" fillId="9" borderId="0" pivotButton="0" quotePrefix="0" xfId="0"/>
    <xf numFmtId="0" fontId="23" fillId="0" borderId="0" pivotButton="0" quotePrefix="0" xfId="0"/>
    <xf numFmtId="0" fontId="9" fillId="10" borderId="0" pivotButton="0" quotePrefix="0" xfId="0"/>
    <xf numFmtId="0" fontId="7" fillId="11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165" fontId="2" fillId="0" borderId="5" applyAlignment="1" pivotButton="0" quotePrefix="0" xfId="0">
      <alignment horizontal="right"/>
    </xf>
    <xf numFmtId="165" fontId="24" fillId="0" borderId="5" applyAlignment="1" pivotButton="0" quotePrefix="0" xfId="0">
      <alignment horizontal="right"/>
    </xf>
    <xf numFmtId="0" fontId="25" fillId="10" borderId="5" pivotButton="0" quotePrefix="0" xfId="0"/>
    <xf numFmtId="165" fontId="25" fillId="10" borderId="5" applyAlignment="1" pivotButton="0" quotePrefix="0" xfId="0">
      <alignment horizontal="right"/>
    </xf>
    <xf numFmtId="0" fontId="2" fillId="10" borderId="5" pivotButton="0" quotePrefix="0" xfId="0"/>
    <xf numFmtId="0" fontId="9" fillId="12" borderId="0" pivotButton="0" quotePrefix="0" xfId="0"/>
    <xf numFmtId="165" fontId="18" fillId="0" borderId="5" applyAlignment="1" pivotButton="0" quotePrefix="0" xfId="0">
      <alignment horizontal="right"/>
    </xf>
    <xf numFmtId="0" fontId="19" fillId="12" borderId="5" pivotButton="0" quotePrefix="0" xfId="0"/>
    <xf numFmtId="165" fontId="19" fillId="12" borderId="5" applyAlignment="1" pivotButton="0" quotePrefix="0" xfId="0">
      <alignment horizontal="right"/>
    </xf>
    <xf numFmtId="0" fontId="2" fillId="12" borderId="5" pivotButton="0" quotePrefix="0" xfId="0"/>
    <xf numFmtId="0" fontId="9" fillId="13" borderId="0" pivotButton="0" quotePrefix="0" xfId="0"/>
    <xf numFmtId="0" fontId="2" fillId="0" borderId="0" applyAlignment="1" pivotButton="0" quotePrefix="0" xfId="0">
      <alignment vertical="center"/>
    </xf>
    <xf numFmtId="165" fontId="25" fillId="0" borderId="0" applyAlignment="1" pivotButton="0" quotePrefix="0" xfId="0">
      <alignment horizontal="right"/>
    </xf>
    <xf numFmtId="165" fontId="9" fillId="13" borderId="0" applyAlignment="1" pivotButton="0" quotePrefix="0" xfId="0">
      <alignment horizontal="right"/>
    </xf>
    <xf numFmtId="165" fontId="25" fillId="0" borderId="5" applyAlignment="1" pivotButton="0" quotePrefix="0" xfId="0">
      <alignment horizontal="right"/>
    </xf>
    <xf numFmtId="165" fontId="19" fillId="0" borderId="5" applyAlignment="1" pivotButton="0" quotePrefix="0" xfId="0">
      <alignment horizontal="right"/>
    </xf>
    <xf numFmtId="0" fontId="26" fillId="0" borderId="0" pivotButton="0" quotePrefix="0" xfId="0"/>
    <xf numFmtId="0" fontId="27" fillId="0" borderId="0" pivotButton="0" quotePrefix="0" xfId="0"/>
    <xf numFmtId="0" fontId="28" fillId="14" borderId="0" pivotButton="0" quotePrefix="0" xfId="0"/>
    <xf numFmtId="0" fontId="29" fillId="0" borderId="0" pivotButton="0" quotePrefix="0" xfId="0"/>
    <xf numFmtId="0" fontId="30" fillId="15" borderId="8" applyAlignment="1" pivotButton="0" quotePrefix="0" xfId="0">
      <alignment horizontal="center" vertical="center"/>
    </xf>
    <xf numFmtId="0" fontId="31" fillId="0" borderId="8" applyAlignment="1" pivotButton="0" quotePrefix="0" xfId="0">
      <alignment vertical="center" wrapText="1"/>
    </xf>
    <xf numFmtId="166" fontId="31" fillId="0" borderId="8" applyAlignment="1" pivotButton="0" quotePrefix="0" xfId="0">
      <alignment horizontal="right"/>
    </xf>
    <xf numFmtId="166" fontId="32" fillId="0" borderId="8" applyAlignment="1" pivotButton="0" quotePrefix="0" xfId="0">
      <alignment horizontal="right"/>
    </xf>
    <xf numFmtId="0" fontId="33" fillId="0" borderId="8" applyAlignment="1" pivotButton="0" quotePrefix="0" xfId="0">
      <alignment vertical="center" wrapText="1"/>
    </xf>
    <xf numFmtId="166" fontId="33" fillId="0" borderId="8" applyAlignment="1" pivotButton="0" quotePrefix="0" xfId="0">
      <alignment horizontal="right"/>
    </xf>
    <xf numFmtId="166" fontId="34" fillId="0" borderId="8" applyAlignment="1" pivotButton="0" quotePrefix="0" xfId="0">
      <alignment horizontal="right"/>
    </xf>
    <xf numFmtId="0" fontId="35" fillId="16" borderId="8" pivotButton="0" quotePrefix="0" xfId="0"/>
    <xf numFmtId="166" fontId="36" fillId="16" borderId="8" applyAlignment="1" pivotButton="0" quotePrefix="0" xfId="0">
      <alignment horizontal="right"/>
    </xf>
    <xf numFmtId="0" fontId="35" fillId="14" borderId="8" pivotButton="0" quotePrefix="0" xfId="0"/>
    <xf numFmtId="166" fontId="36" fillId="14" borderId="8" applyAlignment="1" pivotButton="0" quotePrefix="0" xfId="0">
      <alignment horizontal="right"/>
    </xf>
    <xf numFmtId="0" fontId="0" fillId="0" borderId="8" pivotButton="0" quotePrefix="0" xfId="0"/>
    <xf numFmtId="0" fontId="37" fillId="0" borderId="0" pivotButton="0" quotePrefix="0" xfId="0"/>
    <xf numFmtId="0" fontId="38" fillId="0" borderId="0" pivotButton="0" quotePrefix="0" xfId="0"/>
    <xf numFmtId="0" fontId="28" fillId="16" borderId="0" pivotButton="0" quotePrefix="0" xfId="0"/>
    <xf numFmtId="0" fontId="28" fillId="14" borderId="8" pivotButton="0" quotePrefix="0" xfId="0"/>
    <xf numFmtId="0" fontId="0" fillId="14" borderId="8" pivotButton="0" quotePrefix="0" xfId="0"/>
    <xf numFmtId="0" fontId="30" fillId="15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vertical="center" wrapText="1"/>
    </xf>
    <xf numFmtId="166" fontId="40" fillId="0" borderId="8" applyAlignment="1" pivotButton="0" quotePrefix="0" xfId="0">
      <alignment horizontal="right" vertical="center"/>
    </xf>
    <xf numFmtId="0" fontId="27" fillId="0" borderId="8" applyAlignment="1" pivotButton="0" quotePrefix="0" xfId="0">
      <alignment vertical="center" wrapText="1"/>
    </xf>
    <xf numFmtId="0" fontId="41" fillId="16" borderId="8" pivotButton="0" quotePrefix="0" xfId="0"/>
    <xf numFmtId="0" fontId="0" fillId="16" borderId="8" pivotButton="0" quotePrefix="0" xfId="0"/>
    <xf numFmtId="166" fontId="41" fillId="16" borderId="8" applyAlignment="1" pivotButton="0" quotePrefix="0" xfId="0">
      <alignment horizontal="right"/>
    </xf>
    <xf numFmtId="166" fontId="42" fillId="0" borderId="8" applyAlignment="1" pivotButton="0" quotePrefix="0" xfId="0">
      <alignment horizontal="right" vertical="center"/>
    </xf>
    <xf numFmtId="0" fontId="43" fillId="17" borderId="8" pivotButton="0" quotePrefix="0" xfId="0"/>
    <xf numFmtId="0" fontId="0" fillId="17" borderId="8" pivotButton="0" quotePrefix="0" xfId="0"/>
    <xf numFmtId="0" fontId="4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topLeftCell="A11" workbookViewId="0">
      <selection activeCell="C30" sqref="C30"/>
    </sheetView>
  </sheetViews>
  <sheetFormatPr baseColWidth="10" defaultColWidth="8.88671875" defaultRowHeight="19.8"/>
  <cols>
    <col width="4" customWidth="1" style="66" min="1" max="1"/>
    <col width="42" customWidth="1" style="66" min="2" max="2"/>
    <col width="47.109375" customWidth="1" style="66" min="3" max="3"/>
    <col width="29" customWidth="1" style="66" min="4" max="4"/>
    <col width="26.44140625" customWidth="1" style="66" min="5" max="5"/>
    <col width="8.88671875" customWidth="1" style="66" min="6" max="6"/>
    <col width="8.88671875" customWidth="1" style="66" min="7" max="16384"/>
  </cols>
  <sheetData>
    <row r="2" ht="25.95" customHeight="1">
      <c r="B2" s="1" t="inlineStr">
        <is>
          <t>Tam Logistics SARL — Budget prévisionnel 24 mois</t>
        </is>
      </c>
    </row>
    <row r="3">
      <c r="B3" s="2" t="inlineStr">
        <is>
          <t>Édition juillet 2026 · Grand Nokoué · Bénin</t>
        </is>
      </c>
    </row>
    <row r="5">
      <c r="B5" s="63" t="inlineStr">
        <is>
          <t>Hypothèses structurantes</t>
        </is>
      </c>
      <c r="C5" s="64" t="n"/>
      <c r="D5" s="64" t="n"/>
      <c r="E5" s="62" t="n"/>
    </row>
    <row r="6">
      <c r="B6" s="5" t="inlineStr">
        <is>
          <t>Levée numéraire cible</t>
        </is>
      </c>
      <c r="C6" s="6" t="inlineStr">
        <is>
          <t>10 000 000 FCFA</t>
        </is>
      </c>
      <c r="D6" s="61" t="inlineStr">
        <is>
          <t>Concessionnaires + investisseurs passifs</t>
        </is>
      </c>
      <c r="E6" s="62" t="n"/>
    </row>
    <row r="7">
      <c r="B7" s="5" t="inlineStr">
        <is>
          <t>Apport IP fondateur (nature)</t>
        </is>
      </c>
      <c r="C7" s="6" t="inlineStr">
        <is>
          <t>20 000 000 FCFA</t>
        </is>
      </c>
      <c r="D7" s="61" t="inlineStr">
        <is>
          <t>Application TamCar déjà déployée</t>
        </is>
      </c>
      <c r="E7" s="62" t="n"/>
    </row>
    <row r="8">
      <c r="B8" s="5" t="inlineStr">
        <is>
          <t>Capital total constitution</t>
        </is>
      </c>
      <c r="C8" s="6" t="inlineStr">
        <is>
          <t>30 000 000 FCFA</t>
        </is>
      </c>
      <c r="D8" s="61" t="inlineStr">
        <is>
          <t>Valeur nominale part : 10 000 FCFA</t>
        </is>
      </c>
      <c r="E8" s="62" t="n"/>
    </row>
    <row r="9" ht="32.4" customHeight="1">
      <c r="B9" s="5" t="inlineStr">
        <is>
          <t>Salaire fondateur An 1</t>
        </is>
      </c>
      <c r="C9" s="6" t="inlineStr">
        <is>
          <t>0 FCFA</t>
        </is>
      </c>
      <c r="D9" s="61" t="inlineStr">
        <is>
          <t>Auto-financement, rémunération par dividendes à partir An 2</t>
        </is>
      </c>
      <c r="E9" s="62" t="n"/>
    </row>
    <row r="10">
      <c r="B10" s="5" t="inlineStr">
        <is>
          <t>Bureau physique</t>
        </is>
      </c>
      <c r="C10" s="6" t="inlineStr">
        <is>
          <t>Cotonou dès M0</t>
        </is>
      </c>
      <c r="D10" s="61" t="inlineStr">
        <is>
          <t>Loyer + charges + internet fibre</t>
        </is>
      </c>
      <c r="E10" s="62" t="n"/>
    </row>
    <row r="11">
      <c r="B11" s="5" t="inlineStr">
        <is>
          <t>Banque compte pro</t>
        </is>
      </c>
      <c r="C11" s="6" t="inlineStr">
        <is>
          <t>Atlantic Bank ou BIIC</t>
        </is>
      </c>
      <c r="D11" s="61" t="inlineStr">
        <is>
          <t>À ouvrir M1</t>
        </is>
      </c>
      <c r="E11" s="62" t="n"/>
    </row>
    <row r="12">
      <c r="B12" s="5" t="inlineStr">
        <is>
          <t>Assurance RC pro plateforme</t>
        </is>
      </c>
      <c r="C12" s="6" t="inlineStr">
        <is>
          <t>500 000 FCFA/an</t>
        </is>
      </c>
      <c r="D12" s="61" t="inlineStr">
        <is>
          <t>Placeholder — à réajuster après devis</t>
        </is>
      </c>
      <c r="E12" s="62" t="n"/>
    </row>
    <row r="13">
      <c r="B13" s="5" t="inlineStr">
        <is>
          <t>Cible véhicules actifs M+12</t>
        </is>
      </c>
      <c r="C13" s="6" t="inlineStr">
        <is>
          <t>25 véhicules</t>
        </is>
      </c>
      <c r="D13" s="61" t="inlineStr">
        <is>
          <t>Montée progressive 3 → 25 sur An 1</t>
        </is>
      </c>
      <c r="E13" s="62" t="n"/>
    </row>
    <row r="14">
      <c r="B14" s="5" t="inlineStr">
        <is>
          <t>Cible véhicules actifs M+24</t>
        </is>
      </c>
      <c r="C14" s="6" t="inlineStr">
        <is>
          <t>30 véhicules</t>
        </is>
      </c>
      <c r="D14" s="61" t="inlineStr">
        <is>
          <t>Extension géo Parakou/Bohicon en fin An 2</t>
        </is>
      </c>
      <c r="E14" s="62" t="n"/>
    </row>
    <row r="15">
      <c r="B15" s="5" t="inlineStr">
        <is>
          <t>Split recettes plateforme</t>
        </is>
      </c>
      <c r="C15" s="6" t="inlineStr">
        <is>
          <t>20 % du volume + 20-30 % fonds rachat</t>
        </is>
      </c>
      <c r="D15" s="61" t="inlineStr">
        <is>
          <t>Cf. mémoire — Option Y validée 2026-07-16</t>
        </is>
      </c>
      <c r="E15" s="62" t="n"/>
    </row>
    <row r="17">
      <c r="B17" s="63" t="inlineStr">
        <is>
          <t>Synthèse chiffrée 24 mois</t>
        </is>
      </c>
      <c r="C17" s="64" t="n"/>
      <c r="D17" s="64" t="n"/>
      <c r="E17" s="62" t="n"/>
    </row>
    <row r="18">
      <c r="C18" s="7" t="inlineStr">
        <is>
          <t>Année 1</t>
        </is>
      </c>
      <c r="D18" s="7" t="inlineStr">
        <is>
          <t>Année 2</t>
        </is>
      </c>
      <c r="E18" s="7" t="inlineStr">
        <is>
          <t>Cumulé 24 mois</t>
        </is>
      </c>
    </row>
    <row r="19">
      <c r="B19" s="12" t="inlineStr">
        <is>
          <t>CAPEX de démarrage</t>
        </is>
      </c>
      <c r="C19" s="8">
        <f>'CAPEX M0-M2'!C24</f>
        <v/>
      </c>
      <c r="D19" s="8" t="n">
        <v>0</v>
      </c>
      <c r="E19" s="9">
        <f>'CAPEX M0-M2'!C24</f>
        <v/>
      </c>
    </row>
    <row r="20">
      <c r="B20" s="12" t="inlineStr">
        <is>
          <t>OPEX récurrent</t>
        </is>
      </c>
      <c r="C20" s="10">
        <f>'OPEX An 1'!O44</f>
        <v/>
      </c>
      <c r="D20" s="10">
        <f>'OPEX An 2'!O54</f>
        <v/>
      </c>
      <c r="E20" s="9">
        <f>C20+D20</f>
        <v/>
      </c>
    </row>
    <row r="21">
      <c r="B21" s="12" t="inlineStr">
        <is>
          <t>Total charges</t>
        </is>
      </c>
      <c r="C21" s="8">
        <f>C19+C20</f>
        <v/>
      </c>
      <c r="D21" s="8">
        <f>D19+D20</f>
        <v/>
      </c>
      <c r="E21" s="9">
        <f>C21+D21</f>
        <v/>
      </c>
    </row>
    <row r="22">
      <c r="B22" s="12" t="inlineStr">
        <is>
          <t>Recettes plateforme</t>
        </is>
      </c>
      <c r="C22" s="8">
        <f>'Recettes 24 mois'!C9</f>
        <v/>
      </c>
      <c r="D22" s="8">
        <f>'Recettes 24 mois'!C10</f>
        <v/>
      </c>
      <c r="E22" s="9">
        <f>C22+D22</f>
        <v/>
      </c>
    </row>
    <row r="23">
      <c r="B23" s="12" t="inlineStr">
        <is>
          <t>Résultat brut</t>
        </is>
      </c>
      <c r="C23" s="11">
        <f>C22-C21</f>
        <v/>
      </c>
      <c r="D23" s="11">
        <f>D22-D21</f>
        <v/>
      </c>
      <c r="E23" s="11">
        <f>C23+D23</f>
        <v/>
      </c>
    </row>
    <row r="25" ht="30" customHeight="1">
      <c r="B25" s="65" t="inlineStr">
        <is>
          <t>Note : les valeurs sont estimatives, à réajuster après devis fournisseurs et retours terrain. Les onglets suivants sont éditables — modifier une cellule met à jour les totaux.</t>
        </is>
      </c>
    </row>
  </sheetData>
  <mergeCells count="13">
    <mergeCell ref="D8:E8"/>
    <mergeCell ref="D6:E6"/>
    <mergeCell ref="B17:E17"/>
    <mergeCell ref="D7:E7"/>
    <mergeCell ref="D10:E10"/>
    <mergeCell ref="D15:E15"/>
    <mergeCell ref="D11:E11"/>
    <mergeCell ref="D13:E13"/>
    <mergeCell ref="D14:E14"/>
    <mergeCell ref="B25:E25"/>
    <mergeCell ref="B5:E5"/>
    <mergeCell ref="D9:E9"/>
    <mergeCell ref="D12:E1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4"/>
  <sheetViews>
    <sheetView topLeftCell="A6" workbookViewId="0">
      <selection activeCell="C23" sqref="C23"/>
    </sheetView>
  </sheetViews>
  <sheetFormatPr baseColWidth="10" defaultColWidth="8.88671875" defaultRowHeight="19.8"/>
  <cols>
    <col width="4" customWidth="1" style="66" min="1" max="1"/>
    <col width="57.6640625" customWidth="1" style="66" min="2" max="2"/>
    <col width="25.88671875" customWidth="1" style="66" min="3" max="3"/>
    <col width="56.88671875" customWidth="1" style="66" min="4" max="4"/>
    <col width="8.88671875" customWidth="1" style="66" min="5" max="5"/>
    <col width="8.88671875" customWidth="1" style="66" min="6" max="16384"/>
  </cols>
  <sheetData>
    <row r="2" ht="22.05" customHeight="1">
      <c r="B2" s="13" t="inlineStr">
        <is>
          <t>CAPEX de démarrage (one-shot M0 à M2)</t>
        </is>
      </c>
    </row>
    <row r="4">
      <c r="A4" s="4" t="inlineStr">
        <is>
          <t>#</t>
        </is>
      </c>
      <c r="B4" s="4" t="inlineStr">
        <is>
          <t>Poste</t>
        </is>
      </c>
      <c r="C4" s="4" t="inlineStr">
        <is>
          <t>Montant</t>
        </is>
      </c>
      <c r="D4" s="4" t="inlineStr">
        <is>
          <t>Notes</t>
        </is>
      </c>
    </row>
    <row r="5">
      <c r="A5" s="14" t="n">
        <v>1</v>
      </c>
      <c r="B5" s="21" t="inlineStr">
        <is>
          <t>Notaire — constitution SARL Tam Logistics</t>
        </is>
      </c>
      <c r="C5" s="16" t="n">
        <v>350000</v>
      </c>
      <c r="D5" s="17" t="inlineStr">
        <is>
          <t>Rédaction et enregistrement statuts, honoraires Cotonou</t>
        </is>
      </c>
    </row>
    <row r="6">
      <c r="A6" s="14" t="n">
        <v>2</v>
      </c>
      <c r="B6" s="21" t="inlineStr">
        <is>
          <t>RCCM — immatriculation Registre du Commerce</t>
        </is>
      </c>
      <c r="C6" s="16" t="n">
        <v>50000</v>
      </c>
      <c r="D6" s="17" t="n"/>
    </row>
    <row r="7">
      <c r="A7" s="14" t="n">
        <v>3</v>
      </c>
      <c r="B7" s="21" t="inlineStr">
        <is>
          <t>IFU — identifiant fiscal unique</t>
        </is>
      </c>
      <c r="C7" s="16" t="n">
        <v>10000</v>
      </c>
      <c r="D7" s="17" t="n"/>
    </row>
    <row r="8">
      <c r="A8" s="14" t="n">
        <v>4</v>
      </c>
      <c r="B8" s="21" t="inlineStr">
        <is>
          <t>ANATT — autorisation exploitation VTC</t>
        </is>
      </c>
      <c r="C8" s="16" t="n">
        <v>300000</v>
      </c>
      <c r="D8" s="17" t="inlineStr">
        <is>
          <t>Fourchette 200-400 k FCFA au Bénin</t>
        </is>
      </c>
    </row>
    <row r="9">
      <c r="A9" s="14" t="n">
        <v>5</v>
      </c>
      <c r="B9" s="21" t="inlineStr">
        <is>
          <t>Annonce légale de constitution</t>
        </is>
      </c>
      <c r="C9" s="16" t="n">
        <v>30000</v>
      </c>
      <c r="D9" s="17" t="inlineStr">
        <is>
          <t>Publication journal habilité</t>
        </is>
      </c>
    </row>
    <row r="10">
      <c r="A10" s="14" t="n">
        <v>6</v>
      </c>
      <c r="B10" s="21" t="inlineStr">
        <is>
          <t>Ouverture compte pro (frais dossier)</t>
        </is>
      </c>
      <c r="C10" s="16" t="n">
        <v>25000</v>
      </c>
      <c r="D10" s="17" t="inlineStr">
        <is>
          <t>Atlantic Bank ou BIIC</t>
        </is>
      </c>
    </row>
    <row r="11" ht="32.4" customHeight="1">
      <c r="A11" s="14" t="n">
        <v>7</v>
      </c>
      <c r="B11" s="21" t="inlineStr">
        <is>
          <t>Honoraires juriste OHADA — contrats</t>
        </is>
      </c>
      <c r="C11" s="16" t="n">
        <v>800000</v>
      </c>
      <c r="D11" s="17" t="inlineStr">
        <is>
          <t>CGU/CGV + contrat cession + contrat concessionnaire + pacte d'associés</t>
        </is>
      </c>
    </row>
    <row r="12">
      <c r="A12" s="14" t="n">
        <v>8</v>
      </c>
      <c r="B12" s="21" t="inlineStr">
        <is>
          <t>Commissaire aux apports</t>
        </is>
      </c>
      <c r="C12" s="16" t="n">
        <v>750000</v>
      </c>
      <c r="D12" s="17" t="inlineStr">
        <is>
          <t>Obligatoire (apport IP &gt; 5 M FCFA)</t>
        </is>
      </c>
    </row>
    <row r="13" ht="39.6" customHeight="1">
      <c r="A13" s="14" t="n">
        <v>9</v>
      </c>
      <c r="B13" s="21" t="inlineStr">
        <is>
          <t>Bureau — caution 3 mois de loyer +2 mois de prépayé + caution électricité eau</t>
        </is>
      </c>
      <c r="C13" s="16" t="n">
        <v>500000</v>
      </c>
      <c r="D13" s="17" t="inlineStr">
        <is>
          <t>5 × 100 000 FCFA</t>
        </is>
      </c>
    </row>
    <row r="14">
      <c r="A14" s="14" t="n">
        <v>10</v>
      </c>
      <c r="B14" s="21" t="inlineStr">
        <is>
          <t>Bureau — aménagement</t>
        </is>
      </c>
      <c r="C14" s="16" t="n">
        <v>200000</v>
      </c>
      <c r="D14" s="17" t="inlineStr">
        <is>
          <t>Peinture, décoration, câblage</t>
        </is>
      </c>
    </row>
    <row r="15">
      <c r="A15" s="14" t="n">
        <v>11</v>
      </c>
      <c r="B15" s="21" t="inlineStr">
        <is>
          <t>Matériel informatique + mobilier</t>
        </is>
      </c>
      <c r="C15" s="16" t="n">
        <v>700000</v>
      </c>
      <c r="D15" s="17" t="inlineStr">
        <is>
          <t>Ordi, imprimante, bureaux, chaises</t>
        </is>
      </c>
    </row>
    <row r="16">
      <c r="A16" s="14" t="n">
        <v>12</v>
      </c>
      <c r="B16" s="21" t="inlineStr">
        <is>
          <t>Marketing lancement — événement pilote</t>
        </is>
      </c>
      <c r="C16" s="16" t="n">
        <v>400000</v>
      </c>
      <c r="D16" s="17" t="inlineStr">
        <is>
          <t>Press day + cocktail concessionnaires</t>
        </is>
      </c>
    </row>
    <row r="17">
      <c r="A17" s="14" t="n">
        <v>13</v>
      </c>
      <c r="B17" s="21" t="inlineStr">
        <is>
          <t>Photoshoot voitures + chauffeurs</t>
        </is>
      </c>
      <c r="C17" s="16" t="n">
        <v>200000</v>
      </c>
      <c r="D17" s="17" t="inlineStr">
        <is>
          <t>Photographe pro, mise en valeur flotte</t>
        </is>
      </c>
    </row>
    <row r="18">
      <c r="A18" s="14" t="n">
        <v>14</v>
      </c>
      <c r="B18" s="21" t="inlineStr">
        <is>
          <t>Habillage véhicules (autocollants) × 10</t>
        </is>
      </c>
      <c r="C18" s="16" t="n">
        <v>300000</v>
      </c>
      <c r="D18" s="17" t="inlineStr">
        <is>
          <t>30 000 FCFA / véhicule</t>
        </is>
      </c>
    </row>
    <row r="19">
      <c r="A19" s="14" t="n">
        <v>15</v>
      </c>
      <c r="B19" s="21" t="inlineStr">
        <is>
          <t>Vidéo promo lancement</t>
        </is>
      </c>
      <c r="C19" s="16" t="n">
        <v>300000</v>
      </c>
      <c r="D19" s="17" t="inlineStr">
        <is>
          <t>Spot 30-60 sec + versions réseaux</t>
        </is>
      </c>
    </row>
    <row r="20">
      <c r="A20" s="14" t="n">
        <v>16</v>
      </c>
      <c r="B20" s="21" t="inlineStr">
        <is>
          <t>Inspections initiales × 10 véhicules</t>
        </is>
      </c>
      <c r="C20" s="16" t="n">
        <v>60000</v>
      </c>
      <c r="D20" s="17" t="inlineStr">
        <is>
          <t>6 000 FCFA / inspection</t>
        </is>
      </c>
    </row>
    <row r="21">
      <c r="A21" s="14" t="n">
        <v>17</v>
      </c>
      <c r="B21" s="21" t="inlineStr">
        <is>
          <t>Kits chauffeurs × 10 (tenue, badge, formation)</t>
        </is>
      </c>
      <c r="C21" s="16" t="n">
        <v>100000</v>
      </c>
      <c r="D21" s="17" t="inlineStr">
        <is>
          <t>10 000 FCFA / kit</t>
        </is>
      </c>
    </row>
    <row r="22">
      <c r="A22" s="14" t="n">
        <v>18</v>
      </c>
      <c r="B22" s="21" t="inlineStr">
        <is>
          <t>Charte visuelle + cartes visite + dépliants</t>
        </is>
      </c>
      <c r="C22" s="16" t="n">
        <v>150000</v>
      </c>
      <c r="D22" s="17" t="inlineStr">
        <is>
          <t>Print pro 1er batch</t>
        </is>
      </c>
    </row>
    <row r="23">
      <c r="A23" s="14" t="n">
        <v>19</v>
      </c>
      <c r="B23" s="21" t="inlineStr">
        <is>
          <t>Nom de domaine + email pro</t>
        </is>
      </c>
      <c r="C23" s="16" t="n">
        <v>25000</v>
      </c>
      <c r="D23" s="17" t="inlineStr">
        <is>
          <t>tamcar.app + Google Workspace 1 an</t>
        </is>
      </c>
    </row>
    <row r="24">
      <c r="A24" s="18" t="n"/>
      <c r="B24" s="22" t="inlineStr">
        <is>
          <t>TOTAL CAPEX</t>
        </is>
      </c>
      <c r="C24" s="20">
        <f>SUM(C5:C23)</f>
        <v/>
      </c>
      <c r="D24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44"/>
  <sheetViews>
    <sheetView workbookViewId="0">
      <pane xSplit="2" ySplit="4" topLeftCell="C17" activePane="bottomRight" state="frozen"/>
      <selection pane="topRight" activeCell="A1" sqref="A1"/>
      <selection pane="bottomLeft" activeCell="A1" sqref="A1"/>
      <selection pane="bottomRight" activeCell="O46" sqref="O46"/>
    </sheetView>
  </sheetViews>
  <sheetFormatPr baseColWidth="10" defaultColWidth="8.88671875" defaultRowHeight="19.8"/>
  <cols>
    <col width="4" customWidth="1" style="66" min="1" max="1"/>
    <col width="40.33203125" customWidth="1" style="66" min="2" max="2"/>
    <col width="12" customWidth="1" style="66" min="3" max="14"/>
    <col width="15" customWidth="1" style="66" min="15" max="15"/>
    <col width="8.88671875" customWidth="1" style="66" min="16" max="16"/>
    <col width="8.88671875" customWidth="1" style="66" min="17" max="16384"/>
  </cols>
  <sheetData>
    <row r="2" ht="22.05" customHeight="1">
      <c r="B2" s="13" t="inlineStr">
        <is>
          <t>OPEX An 1 — charges de fonctionnement mensuelles</t>
        </is>
      </c>
    </row>
    <row r="4">
      <c r="A4" s="4" t="inlineStr">
        <is>
          <t>#</t>
        </is>
      </c>
      <c r="B4" s="4" t="inlineStr">
        <is>
          <t>Poste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Total An</t>
        </is>
      </c>
    </row>
    <row r="5">
      <c r="A5" s="23" t="n"/>
      <c r="B5" s="24" t="inlineStr">
        <is>
          <t>Bureau &amp; infrastructure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</row>
    <row r="6">
      <c r="A6" s="14" t="n">
        <v>1</v>
      </c>
      <c r="B6" s="15" t="inlineStr">
        <is>
          <t>Loyer bureau Cotonou</t>
        </is>
      </c>
      <c r="C6" s="33" t="n">
        <v>100000</v>
      </c>
      <c r="D6" s="33" t="n">
        <v>100000</v>
      </c>
      <c r="E6" s="33" t="n">
        <v>100000</v>
      </c>
      <c r="F6" s="33" t="n">
        <v>100000</v>
      </c>
      <c r="G6" s="33" t="n">
        <v>100000</v>
      </c>
      <c r="H6" s="33" t="n">
        <v>100000</v>
      </c>
      <c r="I6" s="33" t="n">
        <v>100000</v>
      </c>
      <c r="J6" s="33" t="n">
        <v>100000</v>
      </c>
      <c r="K6" s="33" t="n">
        <v>100000</v>
      </c>
      <c r="L6" s="33" t="n">
        <v>100000</v>
      </c>
      <c r="M6" s="33" t="n">
        <v>100000</v>
      </c>
      <c r="N6" s="33" t="n">
        <v>100000</v>
      </c>
      <c r="O6" s="34">
        <f>SUM(C6:N6)</f>
        <v/>
      </c>
    </row>
    <row r="7">
      <c r="A7" s="14" t="n">
        <v>2</v>
      </c>
      <c r="B7" s="15" t="inlineStr">
        <is>
          <t>Électricité + eau</t>
        </is>
      </c>
      <c r="C7" s="33" t="n">
        <v>50000</v>
      </c>
      <c r="D7" s="33" t="n">
        <v>50000</v>
      </c>
      <c r="E7" s="33" t="n">
        <v>50000</v>
      </c>
      <c r="F7" s="33" t="n">
        <v>50000</v>
      </c>
      <c r="G7" s="33" t="n">
        <v>50000</v>
      </c>
      <c r="H7" s="33" t="n">
        <v>50000</v>
      </c>
      <c r="I7" s="33" t="n">
        <v>50000</v>
      </c>
      <c r="J7" s="33" t="n">
        <v>50000</v>
      </c>
      <c r="K7" s="33" t="n">
        <v>50000</v>
      </c>
      <c r="L7" s="33" t="n">
        <v>50000</v>
      </c>
      <c r="M7" s="33" t="n">
        <v>50000</v>
      </c>
      <c r="N7" s="33" t="n">
        <v>50000</v>
      </c>
      <c r="O7" s="34">
        <f>SUM(C7:N7)</f>
        <v/>
      </c>
    </row>
    <row r="8">
      <c r="A8" s="14" t="n">
        <v>3</v>
      </c>
      <c r="B8" s="15" t="inlineStr">
        <is>
          <t>Internet fibre</t>
        </is>
      </c>
      <c r="C8" s="33" t="n">
        <v>25000</v>
      </c>
      <c r="D8" s="33" t="n">
        <v>20000</v>
      </c>
      <c r="E8" s="33" t="n">
        <v>20000</v>
      </c>
      <c r="F8" s="33" t="n">
        <v>20000</v>
      </c>
      <c r="G8" s="33" t="n">
        <v>20000</v>
      </c>
      <c r="H8" s="33" t="n">
        <v>20000</v>
      </c>
      <c r="I8" s="33" t="n">
        <v>20000</v>
      </c>
      <c r="J8" s="33" t="n">
        <v>20000</v>
      </c>
      <c r="K8" s="33" t="n">
        <v>20000</v>
      </c>
      <c r="L8" s="33" t="n">
        <v>20000</v>
      </c>
      <c r="M8" s="33" t="n">
        <v>20000</v>
      </c>
      <c r="N8" s="33" t="n">
        <v>20000</v>
      </c>
      <c r="O8" s="34">
        <f>SUM(C8:N8)</f>
        <v/>
      </c>
    </row>
    <row r="9">
      <c r="A9" s="14" t="n">
        <v>4</v>
      </c>
      <c r="B9" s="15" t="inlineStr">
        <is>
          <t>Fournitures (papeterie) + gardiennage</t>
        </is>
      </c>
      <c r="C9" s="33" t="n">
        <v>30000</v>
      </c>
      <c r="D9" s="33" t="n">
        <v>30000</v>
      </c>
      <c r="E9" s="33" t="n">
        <v>30000</v>
      </c>
      <c r="F9" s="33" t="n">
        <v>30000</v>
      </c>
      <c r="G9" s="33" t="n">
        <v>30000</v>
      </c>
      <c r="H9" s="33" t="n">
        <v>30000</v>
      </c>
      <c r="I9" s="33" t="n">
        <v>30000</v>
      </c>
      <c r="J9" s="33" t="n">
        <v>30000</v>
      </c>
      <c r="K9" s="33" t="n">
        <v>30000</v>
      </c>
      <c r="L9" s="33" t="n">
        <v>30000</v>
      </c>
      <c r="M9" s="33" t="n">
        <v>30000</v>
      </c>
      <c r="N9" s="33" t="n">
        <v>30000</v>
      </c>
      <c r="O9" s="34">
        <f>SUM(C9:N9)</f>
        <v/>
      </c>
    </row>
    <row r="10">
      <c r="A10" s="27" t="n"/>
      <c r="B10" s="28" t="inlineStr">
        <is>
          <t xml:space="preserve">  Sous-total Bureau &amp; infrastructure</t>
        </is>
      </c>
      <c r="C10" s="35">
        <f>SUM(C6:C9)</f>
        <v/>
      </c>
      <c r="D10" s="35">
        <f>SUM(D6:D9)</f>
        <v/>
      </c>
      <c r="E10" s="35">
        <f>SUM(E6:E9)</f>
        <v/>
      </c>
      <c r="F10" s="35">
        <f>SUM(F6:F9)</f>
        <v/>
      </c>
      <c r="G10" s="35">
        <f>SUM(G6:G9)</f>
        <v/>
      </c>
      <c r="H10" s="35">
        <f>SUM(H6:H9)</f>
        <v/>
      </c>
      <c r="I10" s="35">
        <f>SUM(I6:I9)</f>
        <v/>
      </c>
      <c r="J10" s="35">
        <f>SUM(J6:J9)</f>
        <v/>
      </c>
      <c r="K10" s="35">
        <f>SUM(K6:K9)</f>
        <v/>
      </c>
      <c r="L10" s="35">
        <f>SUM(L6:L9)</f>
        <v/>
      </c>
      <c r="M10" s="35">
        <f>SUM(M6:M9)</f>
        <v/>
      </c>
      <c r="N10" s="35">
        <f>SUM(N6:N9)</f>
        <v/>
      </c>
      <c r="O10" s="35">
        <f>SUM(C10:N10)</f>
        <v/>
      </c>
    </row>
    <row r="12">
      <c r="A12" s="23" t="n"/>
      <c r="B12" s="24" t="inlineStr">
        <is>
          <t>Tech &amp; infrastructure logicielle</t>
        </is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>
      <c r="A13" s="14" t="n">
        <v>1</v>
      </c>
      <c r="B13" s="15" t="inlineStr">
        <is>
          <t>Supabase Pro</t>
        </is>
      </c>
      <c r="C13" s="25" t="n">
        <v>15000</v>
      </c>
      <c r="D13" s="25" t="n">
        <v>15000</v>
      </c>
      <c r="E13" s="25" t="n">
        <v>15000</v>
      </c>
      <c r="F13" s="25" t="n">
        <v>15000</v>
      </c>
      <c r="G13" s="25" t="n">
        <v>15000</v>
      </c>
      <c r="H13" s="25" t="n">
        <v>15000</v>
      </c>
      <c r="I13" s="25" t="n">
        <v>15000</v>
      </c>
      <c r="J13" s="25" t="n">
        <v>15000</v>
      </c>
      <c r="K13" s="25" t="n">
        <v>15000</v>
      </c>
      <c r="L13" s="25" t="n">
        <v>15000</v>
      </c>
      <c r="M13" s="25" t="n">
        <v>15000</v>
      </c>
      <c r="N13" s="25" t="n">
        <v>15000</v>
      </c>
      <c r="O13" s="26">
        <f>SUM(C13:N13)</f>
        <v/>
      </c>
    </row>
    <row r="14">
      <c r="A14" s="14" t="n">
        <v>2</v>
      </c>
      <c r="B14" s="15" t="inlineStr">
        <is>
          <t>Vercel Pro</t>
        </is>
      </c>
      <c r="C14" s="25" t="n">
        <v>12000</v>
      </c>
      <c r="D14" s="25" t="n">
        <v>12000</v>
      </c>
      <c r="E14" s="25" t="n">
        <v>12000</v>
      </c>
      <c r="F14" s="25" t="n">
        <v>12000</v>
      </c>
      <c r="G14" s="25" t="n">
        <v>12000</v>
      </c>
      <c r="H14" s="25" t="n">
        <v>12000</v>
      </c>
      <c r="I14" s="25" t="n">
        <v>12000</v>
      </c>
      <c r="J14" s="25" t="n">
        <v>12000</v>
      </c>
      <c r="K14" s="25" t="n">
        <v>12000</v>
      </c>
      <c r="L14" s="25" t="n">
        <v>12000</v>
      </c>
      <c r="M14" s="25" t="n">
        <v>12000</v>
      </c>
      <c r="N14" s="25" t="n">
        <v>12000</v>
      </c>
      <c r="O14" s="26">
        <f>SUM(C14:N14)</f>
        <v/>
      </c>
    </row>
    <row r="15">
      <c r="A15" s="14" t="n">
        <v>3</v>
      </c>
      <c r="B15" s="15" t="inlineStr">
        <is>
          <t>Mapbox (géocodage + tuiles)</t>
        </is>
      </c>
      <c r="C15" s="25" t="n">
        <v>25000</v>
      </c>
      <c r="D15" s="25" t="n">
        <v>25000</v>
      </c>
      <c r="E15" s="25" t="n">
        <v>25000</v>
      </c>
      <c r="F15" s="25" t="n">
        <v>25000</v>
      </c>
      <c r="G15" s="25" t="n">
        <v>25000</v>
      </c>
      <c r="H15" s="25" t="n">
        <v>25000</v>
      </c>
      <c r="I15" s="25" t="n">
        <v>25000</v>
      </c>
      <c r="J15" s="25" t="n">
        <v>25000</v>
      </c>
      <c r="K15" s="25" t="n">
        <v>25000</v>
      </c>
      <c r="L15" s="25" t="n">
        <v>25000</v>
      </c>
      <c r="M15" s="25" t="n">
        <v>25000</v>
      </c>
      <c r="N15" s="25" t="n">
        <v>25000</v>
      </c>
      <c r="O15" s="26">
        <f>SUM(C15:N15)</f>
        <v/>
      </c>
    </row>
    <row r="16">
      <c r="A16" s="14" t="n">
        <v>4</v>
      </c>
      <c r="B16" s="15" t="inlineStr">
        <is>
          <t>Twilio SMS (OTP auth)</t>
        </is>
      </c>
      <c r="C16" s="25" t="n">
        <v>20000</v>
      </c>
      <c r="D16" s="25" t="n">
        <v>20000</v>
      </c>
      <c r="E16" s="25" t="n">
        <v>20000</v>
      </c>
      <c r="F16" s="25" t="n">
        <v>20000</v>
      </c>
      <c r="G16" s="25" t="n">
        <v>20000</v>
      </c>
      <c r="H16" s="25" t="n">
        <v>20000</v>
      </c>
      <c r="I16" s="25" t="n">
        <v>20000</v>
      </c>
      <c r="J16" s="25" t="n">
        <v>20000</v>
      </c>
      <c r="K16" s="25" t="n">
        <v>20000</v>
      </c>
      <c r="L16" s="25" t="n">
        <v>20000</v>
      </c>
      <c r="M16" s="25" t="n">
        <v>20000</v>
      </c>
      <c r="N16" s="25" t="n">
        <v>20000</v>
      </c>
      <c r="O16" s="26">
        <f>SUM(C16:N16)</f>
        <v/>
      </c>
    </row>
    <row r="17">
      <c r="A17" s="14" t="n">
        <v>5</v>
      </c>
      <c r="B17" s="15" t="inlineStr">
        <is>
          <t>Nom de domaine + email pro</t>
        </is>
      </c>
      <c r="C17" s="25" t="n">
        <v>2000</v>
      </c>
      <c r="D17" s="25" t="n">
        <v>2000</v>
      </c>
      <c r="E17" s="25" t="n">
        <v>2000</v>
      </c>
      <c r="F17" s="25" t="n">
        <v>2000</v>
      </c>
      <c r="G17" s="25" t="n">
        <v>2000</v>
      </c>
      <c r="H17" s="25" t="n">
        <v>2000</v>
      </c>
      <c r="I17" s="25" t="n">
        <v>2000</v>
      </c>
      <c r="J17" s="25" t="n">
        <v>2000</v>
      </c>
      <c r="K17" s="25" t="n">
        <v>2000</v>
      </c>
      <c r="L17" s="25" t="n">
        <v>2000</v>
      </c>
      <c r="M17" s="25" t="n">
        <v>2000</v>
      </c>
      <c r="N17" s="25" t="n">
        <v>2000</v>
      </c>
      <c r="O17" s="26">
        <f>SUM(C17:N17)</f>
        <v/>
      </c>
    </row>
    <row r="18">
      <c r="A18" s="14" t="n">
        <v>6</v>
      </c>
      <c r="B18" s="15" t="inlineStr">
        <is>
          <t>IA Vision (KYC + photos véhicules)</t>
        </is>
      </c>
      <c r="C18" s="25" t="n">
        <v>10000</v>
      </c>
      <c r="D18" s="25" t="n">
        <v>10000</v>
      </c>
      <c r="E18" s="25" t="n">
        <v>10000</v>
      </c>
      <c r="F18" s="25" t="n">
        <v>10000</v>
      </c>
      <c r="G18" s="25" t="n">
        <v>10000</v>
      </c>
      <c r="H18" s="25" t="n">
        <v>10000</v>
      </c>
      <c r="I18" s="25" t="n">
        <v>10000</v>
      </c>
      <c r="J18" s="25" t="n">
        <v>10000</v>
      </c>
      <c r="K18" s="25" t="n">
        <v>10000</v>
      </c>
      <c r="L18" s="25" t="n">
        <v>10000</v>
      </c>
      <c r="M18" s="25" t="n">
        <v>10000</v>
      </c>
      <c r="N18" s="25" t="n">
        <v>10000</v>
      </c>
      <c r="O18" s="26">
        <f>SUM(C18:N18)</f>
        <v/>
      </c>
    </row>
    <row r="19">
      <c r="A19" s="14" t="n">
        <v>7</v>
      </c>
      <c r="B19" s="15" t="inlineStr">
        <is>
          <t>Monitoring (Sentry, uptime)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6">
        <f>SUM(C19:N19)</f>
        <v/>
      </c>
    </row>
    <row r="20">
      <c r="A20" s="27" t="n"/>
      <c r="B20" s="28" t="inlineStr">
        <is>
          <t xml:space="preserve">  Sous-total Tech &amp; infrastructure logicielle</t>
        </is>
      </c>
      <c r="C20" s="29">
        <f>SUM(C13:C19)</f>
        <v/>
      </c>
      <c r="D20" s="29">
        <f>SUM(D13:D19)</f>
        <v/>
      </c>
      <c r="E20" s="29">
        <f>SUM(E13:E19)</f>
        <v/>
      </c>
      <c r="F20" s="29">
        <f>SUM(F13:F19)</f>
        <v/>
      </c>
      <c r="G20" s="29">
        <f>SUM(G13:G19)</f>
        <v/>
      </c>
      <c r="H20" s="29">
        <f>SUM(H13:H19)</f>
        <v/>
      </c>
      <c r="I20" s="29">
        <f>SUM(I13:I19)</f>
        <v/>
      </c>
      <c r="J20" s="29">
        <f>SUM(J13:J19)</f>
        <v/>
      </c>
      <c r="K20" s="29">
        <f>SUM(K13:K19)</f>
        <v/>
      </c>
      <c r="L20" s="29">
        <f>SUM(L13:L19)</f>
        <v/>
      </c>
      <c r="M20" s="29">
        <f>SUM(M13:M19)</f>
        <v/>
      </c>
      <c r="N20" s="29">
        <f>SUM(N13:N19)</f>
        <v/>
      </c>
      <c r="O20" s="29">
        <f>SUM(C20:N20)</f>
        <v/>
      </c>
    </row>
    <row r="22">
      <c r="A22" s="23" t="n"/>
      <c r="B22" s="32" t="inlineStr">
        <is>
          <t>RH externalisée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</row>
    <row r="23">
      <c r="A23" s="14" t="n">
        <v>1</v>
      </c>
      <c r="B23" s="15" t="inlineStr">
        <is>
          <t>Support client (freelance)</t>
        </is>
      </c>
      <c r="C23" s="25" t="n">
        <v>100000</v>
      </c>
      <c r="D23" s="25" t="n">
        <v>100000</v>
      </c>
      <c r="E23" s="25" t="n">
        <v>100000</v>
      </c>
      <c r="F23" s="25" t="n">
        <v>100000</v>
      </c>
      <c r="G23" s="25" t="n">
        <v>100000</v>
      </c>
      <c r="H23" s="25" t="n">
        <v>100000</v>
      </c>
      <c r="I23" s="25" t="n">
        <v>100000</v>
      </c>
      <c r="J23" s="25" t="n">
        <v>100000</v>
      </c>
      <c r="K23" s="25" t="n">
        <v>100000</v>
      </c>
      <c r="L23" s="25" t="n">
        <v>100000</v>
      </c>
      <c r="M23" s="25" t="n">
        <v>100000</v>
      </c>
      <c r="N23" s="25" t="n">
        <v>100000</v>
      </c>
      <c r="O23" s="26">
        <f>SUM(C23:N23)</f>
        <v/>
      </c>
    </row>
    <row r="24">
      <c r="A24" s="14" t="n">
        <v>2</v>
      </c>
      <c r="B24" s="15" t="inlineStr">
        <is>
          <t>Community manager (forfait)</t>
        </is>
      </c>
      <c r="C24" s="25" t="n">
        <v>75000</v>
      </c>
      <c r="D24" s="25" t="n">
        <v>75000</v>
      </c>
      <c r="E24" s="25" t="n">
        <v>75000</v>
      </c>
      <c r="F24" s="25" t="n">
        <v>75000</v>
      </c>
      <c r="G24" s="25" t="n">
        <v>75000</v>
      </c>
      <c r="H24" s="25" t="n">
        <v>75000</v>
      </c>
      <c r="I24" s="25" t="n">
        <v>75000</v>
      </c>
      <c r="J24" s="25" t="n">
        <v>75000</v>
      </c>
      <c r="K24" s="25" t="n">
        <v>75000</v>
      </c>
      <c r="L24" s="25" t="n">
        <v>75000</v>
      </c>
      <c r="M24" s="25" t="n">
        <v>75000</v>
      </c>
      <c r="N24" s="25" t="n">
        <v>75000</v>
      </c>
      <c r="O24" s="26">
        <f>SUM(C24:N24)</f>
        <v/>
      </c>
    </row>
    <row r="25">
      <c r="A25" s="14" t="n">
        <v>3</v>
      </c>
      <c r="B25" s="15" t="inlineStr">
        <is>
          <t>Comptable externe (forfait)</t>
        </is>
      </c>
      <c r="C25" s="25" t="n">
        <v>50000</v>
      </c>
      <c r="D25" s="25" t="n">
        <v>50000</v>
      </c>
      <c r="E25" s="25" t="n">
        <v>50000</v>
      </c>
      <c r="F25" s="25" t="n">
        <v>50000</v>
      </c>
      <c r="G25" s="25" t="n">
        <v>50000</v>
      </c>
      <c r="H25" s="25" t="n">
        <v>50000</v>
      </c>
      <c r="I25" s="25" t="n">
        <v>50000</v>
      </c>
      <c r="J25" s="25" t="n">
        <v>50000</v>
      </c>
      <c r="K25" s="25" t="n">
        <v>50000</v>
      </c>
      <c r="L25" s="25" t="n">
        <v>50000</v>
      </c>
      <c r="M25" s="25" t="n">
        <v>50000</v>
      </c>
      <c r="N25" s="25" t="n">
        <v>50000</v>
      </c>
      <c r="O25" s="26">
        <f>SUM(C25:N25)</f>
        <v/>
      </c>
    </row>
    <row r="26">
      <c r="A26" s="14" t="n">
        <v>4</v>
      </c>
      <c r="B26" s="15" t="inlineStr">
        <is>
          <t>Juriste rétainer</t>
        </is>
      </c>
      <c r="C26" s="25" t="n">
        <v>50000</v>
      </c>
      <c r="D26" s="25" t="n">
        <v>50000</v>
      </c>
      <c r="E26" s="25" t="n">
        <v>50000</v>
      </c>
      <c r="F26" s="25" t="n">
        <v>50000</v>
      </c>
      <c r="G26" s="25" t="n">
        <v>50000</v>
      </c>
      <c r="H26" s="25" t="n">
        <v>50000</v>
      </c>
      <c r="I26" s="25" t="n">
        <v>50000</v>
      </c>
      <c r="J26" s="25" t="n">
        <v>50000</v>
      </c>
      <c r="K26" s="25" t="n">
        <v>50000</v>
      </c>
      <c r="L26" s="25" t="n">
        <v>50000</v>
      </c>
      <c r="M26" s="25" t="n">
        <v>50000</v>
      </c>
      <c r="N26" s="25" t="n">
        <v>50000</v>
      </c>
      <c r="O26" s="26">
        <f>SUM(C26:N26)</f>
        <v/>
      </c>
    </row>
    <row r="27">
      <c r="A27" s="27" t="n"/>
      <c r="B27" s="28" t="inlineStr">
        <is>
          <t xml:space="preserve">  Sous-total RH externalisée</t>
        </is>
      </c>
      <c r="C27" s="29">
        <f>SUM(C23:C26)</f>
        <v/>
      </c>
      <c r="D27" s="29">
        <f>SUM(D23:D26)</f>
        <v/>
      </c>
      <c r="E27" s="29">
        <f>SUM(E23:E26)</f>
        <v/>
      </c>
      <c r="F27" s="29">
        <f>SUM(F23:F26)</f>
        <v/>
      </c>
      <c r="G27" s="29">
        <f>SUM(G23:G26)</f>
        <v/>
      </c>
      <c r="H27" s="29">
        <f>SUM(H23:H26)</f>
        <v/>
      </c>
      <c r="I27" s="29">
        <f>SUM(I23:I26)</f>
        <v/>
      </c>
      <c r="J27" s="29">
        <f>SUM(J23:J26)</f>
        <v/>
      </c>
      <c r="K27" s="29">
        <f>SUM(K23:K26)</f>
        <v/>
      </c>
      <c r="L27" s="29">
        <f>SUM(L23:L26)</f>
        <v/>
      </c>
      <c r="M27" s="29">
        <f>SUM(M23:M26)</f>
        <v/>
      </c>
      <c r="N27" s="29">
        <f>SUM(N23:N26)</f>
        <v/>
      </c>
      <c r="O27" s="29">
        <f>SUM(C27:N27)</f>
        <v/>
      </c>
    </row>
    <row r="29">
      <c r="A29" s="23" t="n"/>
      <c r="B29" s="24" t="inlineStr">
        <is>
          <t>Marketing &amp; acquisition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</row>
    <row r="30">
      <c r="A30" s="14" t="n">
        <v>1</v>
      </c>
      <c r="B30" s="15" t="inlineStr">
        <is>
          <t>Ads Meta (Facebook + Instagram)</t>
        </is>
      </c>
      <c r="C30" s="25" t="n">
        <v>100000</v>
      </c>
      <c r="D30" s="25" t="n">
        <v>100000</v>
      </c>
      <c r="E30" s="25" t="n">
        <v>100000</v>
      </c>
      <c r="F30" s="25" t="n">
        <v>100000</v>
      </c>
      <c r="G30" s="25" t="n">
        <v>100000</v>
      </c>
      <c r="H30" s="25" t="n">
        <v>100000</v>
      </c>
      <c r="I30" s="25" t="n">
        <v>100000</v>
      </c>
      <c r="J30" s="25" t="n">
        <v>100000</v>
      </c>
      <c r="K30" s="25" t="n">
        <v>100000</v>
      </c>
      <c r="L30" s="25" t="n">
        <v>100000</v>
      </c>
      <c r="M30" s="25" t="n">
        <v>100000</v>
      </c>
      <c r="N30" s="25" t="n">
        <v>100000</v>
      </c>
      <c r="O30" s="26">
        <f>SUM(C30:N30)</f>
        <v/>
      </c>
    </row>
    <row r="31">
      <c r="A31" s="14" t="n">
        <v>2</v>
      </c>
      <c r="B31" s="15" t="inlineStr">
        <is>
          <t>Ads Google</t>
        </is>
      </c>
      <c r="C31" s="25" t="n">
        <v>75000</v>
      </c>
      <c r="D31" s="25" t="n">
        <v>75000</v>
      </c>
      <c r="E31" s="25" t="n">
        <v>75000</v>
      </c>
      <c r="F31" s="25" t="n">
        <v>75000</v>
      </c>
      <c r="G31" s="25" t="n">
        <v>75000</v>
      </c>
      <c r="H31" s="25" t="n">
        <v>75000</v>
      </c>
      <c r="I31" s="25" t="n">
        <v>75000</v>
      </c>
      <c r="J31" s="25" t="n">
        <v>75000</v>
      </c>
      <c r="K31" s="25" t="n">
        <v>75000</v>
      </c>
      <c r="L31" s="25" t="n">
        <v>75000</v>
      </c>
      <c r="M31" s="25" t="n">
        <v>75000</v>
      </c>
      <c r="N31" s="25" t="n">
        <v>75000</v>
      </c>
      <c r="O31" s="26">
        <f>SUM(C31:N31)</f>
        <v/>
      </c>
    </row>
    <row r="32">
      <c r="A32" s="14" t="n">
        <v>3</v>
      </c>
      <c r="B32" s="15" t="inlineStr">
        <is>
          <t>Influenceurs locaux</t>
        </is>
      </c>
      <c r="C32" s="25" t="n">
        <v>75000</v>
      </c>
      <c r="D32" s="25" t="n">
        <v>75000</v>
      </c>
      <c r="E32" s="25" t="n">
        <v>75000</v>
      </c>
      <c r="F32" s="25" t="n">
        <v>75000</v>
      </c>
      <c r="G32" s="25" t="n">
        <v>75000</v>
      </c>
      <c r="H32" s="25" t="n">
        <v>75000</v>
      </c>
      <c r="I32" s="25" t="n">
        <v>75000</v>
      </c>
      <c r="J32" s="25" t="n">
        <v>75000</v>
      </c>
      <c r="K32" s="25" t="n">
        <v>75000</v>
      </c>
      <c r="L32" s="25" t="n">
        <v>75000</v>
      </c>
      <c r="M32" s="25" t="n">
        <v>75000</v>
      </c>
      <c r="N32" s="25" t="n">
        <v>75000</v>
      </c>
      <c r="O32" s="26">
        <f>SUM(C32:N32)</f>
        <v/>
      </c>
    </row>
    <row r="33">
      <c r="A33" s="14" t="n">
        <v>4</v>
      </c>
      <c r="B33" s="15" t="inlineStr">
        <is>
          <t>Radio locale (spots)</t>
        </is>
      </c>
      <c r="C33" s="25" t="n">
        <v>100000</v>
      </c>
      <c r="D33" s="25" t="n">
        <v>100000</v>
      </c>
      <c r="E33" s="25" t="n">
        <v>100000</v>
      </c>
      <c r="F33" s="25" t="n">
        <v>100000</v>
      </c>
      <c r="G33" s="25" t="n">
        <v>100000</v>
      </c>
      <c r="H33" s="25" t="n">
        <v>100000</v>
      </c>
      <c r="I33" s="25" t="n">
        <v>100000</v>
      </c>
      <c r="J33" s="25" t="n">
        <v>100000</v>
      </c>
      <c r="K33" s="25" t="n">
        <v>100000</v>
      </c>
      <c r="L33" s="25" t="n">
        <v>100000</v>
      </c>
      <c r="M33" s="25" t="n">
        <v>100000</v>
      </c>
      <c r="N33" s="25" t="n">
        <v>100000</v>
      </c>
      <c r="O33" s="26">
        <f>SUM(C33:N33)</f>
        <v/>
      </c>
    </row>
    <row r="34">
      <c r="A34" s="14" t="n">
        <v>5</v>
      </c>
      <c r="B34" s="15" t="inlineStr">
        <is>
          <t>Street marketing + flyers</t>
        </is>
      </c>
      <c r="C34" s="25" t="n">
        <v>50000</v>
      </c>
      <c r="D34" s="25" t="n">
        <v>50000</v>
      </c>
      <c r="E34" s="25" t="n">
        <v>50000</v>
      </c>
      <c r="F34" s="25" t="n">
        <v>50000</v>
      </c>
      <c r="G34" s="25" t="n">
        <v>50000</v>
      </c>
      <c r="H34" s="25" t="n">
        <v>50000</v>
      </c>
      <c r="I34" s="25" t="n">
        <v>50000</v>
      </c>
      <c r="J34" s="25" t="n">
        <v>50000</v>
      </c>
      <c r="K34" s="25" t="n">
        <v>50000</v>
      </c>
      <c r="L34" s="25" t="n">
        <v>50000</v>
      </c>
      <c r="M34" s="25" t="n">
        <v>50000</v>
      </c>
      <c r="N34" s="25" t="n">
        <v>50000</v>
      </c>
      <c r="O34" s="26">
        <f>SUM(C34:N34)</f>
        <v/>
      </c>
    </row>
    <row r="35">
      <c r="A35" s="14" t="n">
        <v>6</v>
      </c>
      <c r="B35" s="15" t="inlineStr">
        <is>
          <t>Parrainage bonus 500 FCFA</t>
        </is>
      </c>
      <c r="C35" s="25" t="n">
        <v>50000</v>
      </c>
      <c r="D35" s="25" t="n">
        <v>50000</v>
      </c>
      <c r="E35" s="25" t="n">
        <v>50000</v>
      </c>
      <c r="F35" s="25" t="n">
        <v>50000</v>
      </c>
      <c r="G35" s="25" t="n">
        <v>50000</v>
      </c>
      <c r="H35" s="25" t="n">
        <v>50000</v>
      </c>
      <c r="I35" s="25" t="n">
        <v>50000</v>
      </c>
      <c r="J35" s="25" t="n">
        <v>50000</v>
      </c>
      <c r="K35" s="25" t="n">
        <v>50000</v>
      </c>
      <c r="L35" s="25" t="n">
        <v>50000</v>
      </c>
      <c r="M35" s="25" t="n">
        <v>50000</v>
      </c>
      <c r="N35" s="25" t="n">
        <v>50000</v>
      </c>
      <c r="O35" s="26">
        <f>SUM(C35:N35)</f>
        <v/>
      </c>
    </row>
    <row r="36">
      <c r="A36" s="27" t="n"/>
      <c r="B36" s="28" t="inlineStr">
        <is>
          <t xml:space="preserve">  Sous-total Marketing &amp; acquisition</t>
        </is>
      </c>
      <c r="C36" s="29">
        <f>SUM(C30:C35)</f>
        <v/>
      </c>
      <c r="D36" s="29">
        <f>SUM(D30:D35)</f>
        <v/>
      </c>
      <c r="E36" s="29">
        <f>SUM(E30:E35)</f>
        <v/>
      </c>
      <c r="F36" s="29">
        <f>SUM(F30:F35)</f>
        <v/>
      </c>
      <c r="G36" s="29">
        <f>SUM(G30:G35)</f>
        <v/>
      </c>
      <c r="H36" s="29">
        <f>SUM(H30:H35)</f>
        <v/>
      </c>
      <c r="I36" s="29">
        <f>SUM(I30:I35)</f>
        <v/>
      </c>
      <c r="J36" s="29">
        <f>SUM(J30:J35)</f>
        <v/>
      </c>
      <c r="K36" s="29">
        <f>SUM(K30:K35)</f>
        <v/>
      </c>
      <c r="L36" s="29">
        <f>SUM(L30:L35)</f>
        <v/>
      </c>
      <c r="M36" s="29">
        <f>SUM(M30:M35)</f>
        <v/>
      </c>
      <c r="N36" s="29">
        <f>SUM(N30:N35)</f>
        <v/>
      </c>
      <c r="O36" s="29">
        <f>SUM(C36:N36)</f>
        <v/>
      </c>
    </row>
    <row r="38">
      <c r="A38" s="23" t="n"/>
      <c r="B38" s="24" t="inlineStr">
        <is>
          <t>Financier &amp; assurance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</row>
    <row r="39">
      <c r="A39" s="14" t="n">
        <v>1</v>
      </c>
      <c r="B39" s="15" t="inlineStr">
        <is>
          <t>Frais tenue compte pro</t>
        </is>
      </c>
      <c r="C39" s="25" t="n">
        <v>5500</v>
      </c>
      <c r="D39" s="25" t="n">
        <v>5500</v>
      </c>
      <c r="E39" s="25" t="n">
        <v>5500</v>
      </c>
      <c r="F39" s="25" t="n">
        <v>5500</v>
      </c>
      <c r="G39" s="25" t="n">
        <v>5500</v>
      </c>
      <c r="H39" s="25" t="n">
        <v>5500</v>
      </c>
      <c r="I39" s="25" t="n">
        <v>5500</v>
      </c>
      <c r="J39" s="25" t="n">
        <v>5500</v>
      </c>
      <c r="K39" s="25" t="n">
        <v>5500</v>
      </c>
      <c r="L39" s="25" t="n">
        <v>5500</v>
      </c>
      <c r="M39" s="25" t="n">
        <v>5500</v>
      </c>
      <c r="N39" s="25" t="n">
        <v>5500</v>
      </c>
      <c r="O39" s="26">
        <f>SUM(C39:N39)</f>
        <v/>
      </c>
    </row>
    <row r="40">
      <c r="A40" s="14" t="n">
        <v>2</v>
      </c>
      <c r="B40" s="15" t="inlineStr">
        <is>
          <t>Frais Mobile Money out (retraits)</t>
        </is>
      </c>
      <c r="C40" s="25" t="n">
        <v>30000</v>
      </c>
      <c r="D40" s="25" t="n">
        <v>30000</v>
      </c>
      <c r="E40" s="25" t="n">
        <v>30000</v>
      </c>
      <c r="F40" s="25" t="n">
        <v>30000</v>
      </c>
      <c r="G40" s="25" t="n">
        <v>30000</v>
      </c>
      <c r="H40" s="25" t="n">
        <v>30000</v>
      </c>
      <c r="I40" s="25" t="n">
        <v>30000</v>
      </c>
      <c r="J40" s="25" t="n">
        <v>30000</v>
      </c>
      <c r="K40" s="25" t="n">
        <v>30000</v>
      </c>
      <c r="L40" s="25" t="n">
        <v>30000</v>
      </c>
      <c r="M40" s="25" t="n">
        <v>30000</v>
      </c>
      <c r="N40" s="25" t="n">
        <v>30000</v>
      </c>
      <c r="O40" s="26">
        <f>SUM(C40:N40)</f>
        <v/>
      </c>
    </row>
    <row r="41">
      <c r="A41" s="14" t="n">
        <v>3</v>
      </c>
      <c r="B41" s="15" t="inlineStr">
        <is>
          <t>Assurance RC pro plateforme</t>
        </is>
      </c>
      <c r="C41" s="25" t="n">
        <v>41666</v>
      </c>
      <c r="D41" s="25" t="n">
        <v>41666</v>
      </c>
      <c r="E41" s="25" t="n">
        <v>41666</v>
      </c>
      <c r="F41" s="25" t="n">
        <v>41666</v>
      </c>
      <c r="G41" s="25" t="n">
        <v>41666</v>
      </c>
      <c r="H41" s="25" t="n">
        <v>41666</v>
      </c>
      <c r="I41" s="25" t="n">
        <v>41666</v>
      </c>
      <c r="J41" s="25" t="n">
        <v>41666</v>
      </c>
      <c r="K41" s="25" t="n">
        <v>41666</v>
      </c>
      <c r="L41" s="25" t="n">
        <v>41666</v>
      </c>
      <c r="M41" s="25" t="n">
        <v>41666</v>
      </c>
      <c r="N41" s="25" t="n">
        <v>41666</v>
      </c>
      <c r="O41" s="26">
        <f>SUM(C41:N41)</f>
        <v/>
      </c>
    </row>
    <row r="42">
      <c r="A42" s="27" t="n"/>
      <c r="B42" s="28" t="inlineStr">
        <is>
          <t xml:space="preserve">  Sous-total Financier &amp; assurance</t>
        </is>
      </c>
      <c r="C42" s="29">
        <f>SUM(C39:C41)</f>
        <v/>
      </c>
      <c r="D42" s="29">
        <f>SUM(D39:D41)</f>
        <v/>
      </c>
      <c r="E42" s="29">
        <f>SUM(E39:E41)</f>
        <v/>
      </c>
      <c r="F42" s="29">
        <f>SUM(F39:F41)</f>
        <v/>
      </c>
      <c r="G42" s="29">
        <f>SUM(G39:G41)</f>
        <v/>
      </c>
      <c r="H42" s="29">
        <f>SUM(H39:H41)</f>
        <v/>
      </c>
      <c r="I42" s="29">
        <f>SUM(I39:I41)</f>
        <v/>
      </c>
      <c r="J42" s="29">
        <f>SUM(J39:J41)</f>
        <v/>
      </c>
      <c r="K42" s="29">
        <f>SUM(K39:K41)</f>
        <v/>
      </c>
      <c r="L42" s="29">
        <f>SUM(L39:L41)</f>
        <v/>
      </c>
      <c r="M42" s="29">
        <f>SUM(M39:M41)</f>
        <v/>
      </c>
      <c r="N42" s="29">
        <f>SUM(N39:N41)</f>
        <v/>
      </c>
      <c r="O42" s="29">
        <f>SUM(C42:N42)</f>
        <v/>
      </c>
    </row>
    <row r="44">
      <c r="A44" s="30" t="n"/>
      <c r="B44" s="19" t="inlineStr">
        <is>
          <t>TOTAL OPEX MENSUEL</t>
        </is>
      </c>
      <c r="C44" s="31">
        <f>C10+C20+C27+C36+C42</f>
        <v/>
      </c>
      <c r="D44" s="31">
        <f>D10+D20+D27+D36+D42</f>
        <v/>
      </c>
      <c r="E44" s="31">
        <f>E10+E20+E27+E36+E42</f>
        <v/>
      </c>
      <c r="F44" s="31">
        <f>F10+F20+F27+F36+F42</f>
        <v/>
      </c>
      <c r="G44" s="31">
        <f>G10+G20+G27+G36+G42</f>
        <v/>
      </c>
      <c r="H44" s="31">
        <f>H10+H20+H27+H36+H42</f>
        <v/>
      </c>
      <c r="I44" s="31">
        <f>I10+I20+I27+I36+I42</f>
        <v/>
      </c>
      <c r="J44" s="31">
        <f>J10+J20+J27+J36+J42</f>
        <v/>
      </c>
      <c r="K44" s="31">
        <f>K10+K20+K27+K36+K42</f>
        <v/>
      </c>
      <c r="L44" s="31">
        <f>L10+L20+L27+L36+L42</f>
        <v/>
      </c>
      <c r="M44" s="31">
        <f>M10+M20+M27+M36+M42</f>
        <v/>
      </c>
      <c r="N44" s="31">
        <f>N10+N20+N27+N36+N42</f>
        <v/>
      </c>
      <c r="O44" s="31">
        <f>SUM(C44:N44)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54"/>
  <sheetViews>
    <sheetView workbookViewId="0">
      <pane xSplit="2" ySplit="4" topLeftCell="C42" activePane="bottomRight" state="frozen"/>
      <selection pane="topRight" activeCell="A1" sqref="A1"/>
      <selection pane="bottomLeft" activeCell="A1" sqref="A1"/>
      <selection pane="bottomRight" activeCell="A51" sqref="A51:O51"/>
    </sheetView>
  </sheetViews>
  <sheetFormatPr baseColWidth="10" defaultColWidth="8.88671875" defaultRowHeight="19.8"/>
  <cols>
    <col width="4" customWidth="1" style="66" min="1" max="1"/>
    <col width="38" customWidth="1" style="66" min="2" max="2"/>
    <col width="12" customWidth="1" style="66" min="3" max="14"/>
    <col width="15" customWidth="1" style="66" min="15" max="15"/>
    <col width="8.88671875" customWidth="1" style="66" min="16" max="16"/>
    <col width="8.88671875" customWidth="1" style="66" min="17" max="16384"/>
  </cols>
  <sheetData>
    <row r="2" ht="22.05" customHeight="1">
      <c r="B2" s="13" t="inlineStr">
        <is>
          <t>OPEX An 2 — charges de fonctionnement mensuelles</t>
        </is>
      </c>
    </row>
    <row r="4">
      <c r="A4" s="4" t="inlineStr">
        <is>
          <t>#</t>
        </is>
      </c>
      <c r="B4" s="4" t="inlineStr">
        <is>
          <t>Poste</t>
        </is>
      </c>
      <c r="C4" s="4" t="inlineStr">
        <is>
          <t>M13</t>
        </is>
      </c>
      <c r="D4" s="4" t="inlineStr">
        <is>
          <t>M14</t>
        </is>
      </c>
      <c r="E4" s="4" t="inlineStr">
        <is>
          <t>M15</t>
        </is>
      </c>
      <c r="F4" s="4" t="inlineStr">
        <is>
          <t>M16</t>
        </is>
      </c>
      <c r="G4" s="4" t="inlineStr">
        <is>
          <t>M17</t>
        </is>
      </c>
      <c r="H4" s="4" t="inlineStr">
        <is>
          <t>M18</t>
        </is>
      </c>
      <c r="I4" s="4" t="inlineStr">
        <is>
          <t>M19</t>
        </is>
      </c>
      <c r="J4" s="4" t="inlineStr">
        <is>
          <t>M20</t>
        </is>
      </c>
      <c r="K4" s="4" t="inlineStr">
        <is>
          <t>M21</t>
        </is>
      </c>
      <c r="L4" s="4" t="inlineStr">
        <is>
          <t>M22</t>
        </is>
      </c>
      <c r="M4" s="4" t="inlineStr">
        <is>
          <t>M23</t>
        </is>
      </c>
      <c r="N4" s="4" t="inlineStr">
        <is>
          <t>M24</t>
        </is>
      </c>
      <c r="O4" s="4" t="inlineStr">
        <is>
          <t>Total An</t>
        </is>
      </c>
    </row>
    <row r="5">
      <c r="A5" s="23" t="n"/>
      <c r="B5" s="24" t="inlineStr">
        <is>
          <t>Bureau &amp; infrastructure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</row>
    <row r="6">
      <c r="A6" s="14" t="n">
        <v>1</v>
      </c>
      <c r="B6" s="15" t="inlineStr">
        <is>
          <t>Loyer bureau Cotonou</t>
        </is>
      </c>
      <c r="C6" s="25" t="n">
        <v>100000</v>
      </c>
      <c r="D6" s="25" t="n">
        <v>100000</v>
      </c>
      <c r="E6" s="25" t="n">
        <v>100000</v>
      </c>
      <c r="F6" s="25" t="n">
        <v>100000</v>
      </c>
      <c r="G6" s="25" t="n">
        <v>100000</v>
      </c>
      <c r="H6" s="25" t="n">
        <v>100000</v>
      </c>
      <c r="I6" s="25" t="n">
        <v>100000</v>
      </c>
      <c r="J6" s="25" t="n">
        <v>100000</v>
      </c>
      <c r="K6" s="25" t="n">
        <v>100000</v>
      </c>
      <c r="L6" s="25" t="n">
        <v>100000</v>
      </c>
      <c r="M6" s="25" t="n">
        <v>100000</v>
      </c>
      <c r="N6" s="25" t="n">
        <v>100000</v>
      </c>
      <c r="O6" s="26">
        <f>SUM(C6:N6)</f>
        <v/>
      </c>
    </row>
    <row r="7">
      <c r="A7" s="14" t="n">
        <v>2</v>
      </c>
      <c r="B7" s="15" t="inlineStr">
        <is>
          <t>Électricité + eau</t>
        </is>
      </c>
      <c r="C7" s="25" t="n">
        <v>50000</v>
      </c>
      <c r="D7" s="25" t="n">
        <v>50000</v>
      </c>
      <c r="E7" s="25" t="n">
        <v>50000</v>
      </c>
      <c r="F7" s="25" t="n">
        <v>50000</v>
      </c>
      <c r="G7" s="25" t="n">
        <v>50000</v>
      </c>
      <c r="H7" s="25" t="n">
        <v>50000</v>
      </c>
      <c r="I7" s="25" t="n">
        <v>50000</v>
      </c>
      <c r="J7" s="25" t="n">
        <v>50000</v>
      </c>
      <c r="K7" s="25" t="n">
        <v>50000</v>
      </c>
      <c r="L7" s="25" t="n">
        <v>50000</v>
      </c>
      <c r="M7" s="25" t="n">
        <v>50000</v>
      </c>
      <c r="N7" s="25" t="n">
        <v>50000</v>
      </c>
      <c r="O7" s="26">
        <f>SUM(C7:N7)</f>
        <v/>
      </c>
    </row>
    <row r="8">
      <c r="A8" s="14" t="n">
        <v>3</v>
      </c>
      <c r="B8" s="15" t="inlineStr">
        <is>
          <t>Internet fibre</t>
        </is>
      </c>
      <c r="C8" s="25" t="n">
        <v>20000</v>
      </c>
      <c r="D8" s="25" t="n">
        <v>20000</v>
      </c>
      <c r="E8" s="25" t="n">
        <v>20000</v>
      </c>
      <c r="F8" s="25" t="n">
        <v>20000</v>
      </c>
      <c r="G8" s="25" t="n">
        <v>20000</v>
      </c>
      <c r="H8" s="25" t="n">
        <v>20000</v>
      </c>
      <c r="I8" s="25" t="n">
        <v>20000</v>
      </c>
      <c r="J8" s="25" t="n">
        <v>20000</v>
      </c>
      <c r="K8" s="25" t="n">
        <v>20000</v>
      </c>
      <c r="L8" s="25" t="n">
        <v>20000</v>
      </c>
      <c r="M8" s="25" t="n">
        <v>20000</v>
      </c>
      <c r="N8" s="25" t="n">
        <v>20000</v>
      </c>
      <c r="O8" s="26">
        <f>SUM(C8:N8)</f>
        <v/>
      </c>
    </row>
    <row r="9">
      <c r="A9" s="14" t="n">
        <v>4</v>
      </c>
      <c r="B9" s="15" t="inlineStr">
        <is>
          <t>Fournitures + gardiennage</t>
        </is>
      </c>
      <c r="C9" s="25" t="n">
        <v>30000</v>
      </c>
      <c r="D9" s="25" t="n">
        <v>30000</v>
      </c>
      <c r="E9" s="25" t="n">
        <v>30000</v>
      </c>
      <c r="F9" s="25" t="n">
        <v>30000</v>
      </c>
      <c r="G9" s="25" t="n">
        <v>30000</v>
      </c>
      <c r="H9" s="25" t="n">
        <v>30000</v>
      </c>
      <c r="I9" s="25" t="n">
        <v>30000</v>
      </c>
      <c r="J9" s="25" t="n">
        <v>30000</v>
      </c>
      <c r="K9" s="25" t="n">
        <v>30000</v>
      </c>
      <c r="L9" s="25" t="n">
        <v>30000</v>
      </c>
      <c r="M9" s="25" t="n">
        <v>30000</v>
      </c>
      <c r="N9" s="25" t="n">
        <v>30000</v>
      </c>
      <c r="O9" s="26">
        <f>SUM(C9:N9)</f>
        <v/>
      </c>
    </row>
    <row r="10">
      <c r="A10" s="27" t="n"/>
      <c r="B10" s="28" t="inlineStr">
        <is>
          <t xml:space="preserve">  Sous-total Bureau &amp; infrastructure</t>
        </is>
      </c>
      <c r="C10" s="29">
        <f>SUM(C6:C9)</f>
        <v/>
      </c>
      <c r="D10" s="29">
        <f>SUM(D6:D9)</f>
        <v/>
      </c>
      <c r="E10" s="29">
        <f>SUM(E6:E9)</f>
        <v/>
      </c>
      <c r="F10" s="29">
        <f>SUM(F6:F9)</f>
        <v/>
      </c>
      <c r="G10" s="29">
        <f>SUM(G6:G9)</f>
        <v/>
      </c>
      <c r="H10" s="29">
        <f>SUM(H6:H9)</f>
        <v/>
      </c>
      <c r="I10" s="29">
        <f>SUM(I6:I9)</f>
        <v/>
      </c>
      <c r="J10" s="29">
        <f>SUM(J6:J9)</f>
        <v/>
      </c>
      <c r="K10" s="29">
        <f>SUM(K6:K9)</f>
        <v/>
      </c>
      <c r="L10" s="29">
        <f>SUM(L6:L9)</f>
        <v/>
      </c>
      <c r="M10" s="29">
        <f>SUM(M6:M9)</f>
        <v/>
      </c>
      <c r="N10" s="29">
        <f>SUM(N6:N9)</f>
        <v/>
      </c>
      <c r="O10" s="29">
        <f>SUM(C10:N10)</f>
        <v/>
      </c>
    </row>
    <row r="12">
      <c r="A12" s="23" t="n"/>
      <c r="B12" s="24" t="inlineStr">
        <is>
          <t>Tech &amp; infrastructure logicielle</t>
        </is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>
      <c r="A13" s="14" t="n">
        <v>1</v>
      </c>
      <c r="B13" s="15" t="inlineStr">
        <is>
          <t>Supabase Pro</t>
        </is>
      </c>
      <c r="C13" s="25" t="n">
        <v>15000</v>
      </c>
      <c r="D13" s="25" t="n">
        <v>15000</v>
      </c>
      <c r="E13" s="25" t="n">
        <v>15000</v>
      </c>
      <c r="F13" s="25" t="n">
        <v>15000</v>
      </c>
      <c r="G13" s="25" t="n">
        <v>15000</v>
      </c>
      <c r="H13" s="25" t="n">
        <v>15000</v>
      </c>
      <c r="I13" s="25" t="n">
        <v>15000</v>
      </c>
      <c r="J13" s="25" t="n">
        <v>15000</v>
      </c>
      <c r="K13" s="25" t="n">
        <v>15000</v>
      </c>
      <c r="L13" s="25" t="n">
        <v>15000</v>
      </c>
      <c r="M13" s="25" t="n">
        <v>15000</v>
      </c>
      <c r="N13" s="25" t="n">
        <v>15000</v>
      </c>
      <c r="O13" s="26">
        <f>SUM(C13:N13)</f>
        <v/>
      </c>
    </row>
    <row r="14">
      <c r="A14" s="14" t="n">
        <v>2</v>
      </c>
      <c r="B14" s="15" t="inlineStr">
        <is>
          <t>Vercel Pro</t>
        </is>
      </c>
      <c r="C14" s="25" t="n">
        <v>12000</v>
      </c>
      <c r="D14" s="25" t="n">
        <v>12000</v>
      </c>
      <c r="E14" s="25" t="n">
        <v>12000</v>
      </c>
      <c r="F14" s="25" t="n">
        <v>12000</v>
      </c>
      <c r="G14" s="25" t="n">
        <v>12000</v>
      </c>
      <c r="H14" s="25" t="n">
        <v>12000</v>
      </c>
      <c r="I14" s="25" t="n">
        <v>12000</v>
      </c>
      <c r="J14" s="25" t="n">
        <v>12000</v>
      </c>
      <c r="K14" s="25" t="n">
        <v>12000</v>
      </c>
      <c r="L14" s="25" t="n">
        <v>12000</v>
      </c>
      <c r="M14" s="25" t="n">
        <v>12000</v>
      </c>
      <c r="N14" s="25" t="n">
        <v>12000</v>
      </c>
      <c r="O14" s="26">
        <f>SUM(C14:N14)</f>
        <v/>
      </c>
    </row>
    <row r="15">
      <c r="A15" s="14" t="n">
        <v>3</v>
      </c>
      <c r="B15" s="15" t="inlineStr">
        <is>
          <t>Mapbox (géocodage + tuiles)</t>
        </is>
      </c>
      <c r="C15" s="25" t="n">
        <v>25000</v>
      </c>
      <c r="D15" s="25" t="n">
        <v>25000</v>
      </c>
      <c r="E15" s="25" t="n">
        <v>25000</v>
      </c>
      <c r="F15" s="25" t="n">
        <v>25000</v>
      </c>
      <c r="G15" s="25" t="n">
        <v>25000</v>
      </c>
      <c r="H15" s="25" t="n">
        <v>25000</v>
      </c>
      <c r="I15" s="25" t="n">
        <v>25000</v>
      </c>
      <c r="J15" s="25" t="n">
        <v>25000</v>
      </c>
      <c r="K15" s="25" t="n">
        <v>25000</v>
      </c>
      <c r="L15" s="25" t="n">
        <v>25000</v>
      </c>
      <c r="M15" s="25" t="n">
        <v>25000</v>
      </c>
      <c r="N15" s="25" t="n">
        <v>25000</v>
      </c>
      <c r="O15" s="26">
        <f>SUM(C15:N15)</f>
        <v/>
      </c>
    </row>
    <row r="16">
      <c r="A16" s="14" t="n">
        <v>4</v>
      </c>
      <c r="B16" s="15" t="inlineStr">
        <is>
          <t>Twilio SMS (OTP auth)</t>
        </is>
      </c>
      <c r="C16" s="25" t="n">
        <v>20000</v>
      </c>
      <c r="D16" s="25" t="n">
        <v>20000</v>
      </c>
      <c r="E16" s="25" t="n">
        <v>20000</v>
      </c>
      <c r="F16" s="25" t="n">
        <v>20000</v>
      </c>
      <c r="G16" s="25" t="n">
        <v>20000</v>
      </c>
      <c r="H16" s="25" t="n">
        <v>20000</v>
      </c>
      <c r="I16" s="25" t="n">
        <v>20000</v>
      </c>
      <c r="J16" s="25" t="n">
        <v>20000</v>
      </c>
      <c r="K16" s="25" t="n">
        <v>20000</v>
      </c>
      <c r="L16" s="25" t="n">
        <v>20000</v>
      </c>
      <c r="M16" s="25" t="n">
        <v>20000</v>
      </c>
      <c r="N16" s="25" t="n">
        <v>20000</v>
      </c>
      <c r="O16" s="26">
        <f>SUM(C16:N16)</f>
        <v/>
      </c>
    </row>
    <row r="17">
      <c r="A17" s="14" t="n">
        <v>5</v>
      </c>
      <c r="B17" s="15" t="inlineStr">
        <is>
          <t>Nom de domaine + email pro</t>
        </is>
      </c>
      <c r="C17" s="25" t="n">
        <v>1500</v>
      </c>
      <c r="D17" s="25" t="n">
        <v>1500</v>
      </c>
      <c r="E17" s="25" t="n">
        <v>1500</v>
      </c>
      <c r="F17" s="25" t="n">
        <v>1500</v>
      </c>
      <c r="G17" s="25" t="n">
        <v>1500</v>
      </c>
      <c r="H17" s="25" t="n">
        <v>1500</v>
      </c>
      <c r="I17" s="25" t="n">
        <v>1500</v>
      </c>
      <c r="J17" s="25" t="n">
        <v>1500</v>
      </c>
      <c r="K17" s="25" t="n">
        <v>1500</v>
      </c>
      <c r="L17" s="25" t="n">
        <v>1500</v>
      </c>
      <c r="M17" s="25" t="n">
        <v>1500</v>
      </c>
      <c r="N17" s="25" t="n">
        <v>1500</v>
      </c>
      <c r="O17" s="26">
        <f>SUM(C17:N17)</f>
        <v/>
      </c>
    </row>
    <row r="18">
      <c r="A18" s="14" t="n">
        <v>6</v>
      </c>
      <c r="B18" s="15" t="inlineStr">
        <is>
          <t>IA Vision (KYC + photos véhicules)</t>
        </is>
      </c>
      <c r="C18" s="25" t="n">
        <v>10000</v>
      </c>
      <c r="D18" s="25" t="n">
        <v>10000</v>
      </c>
      <c r="E18" s="25" t="n">
        <v>10000</v>
      </c>
      <c r="F18" s="25" t="n">
        <v>10000</v>
      </c>
      <c r="G18" s="25" t="n">
        <v>10000</v>
      </c>
      <c r="H18" s="25" t="n">
        <v>10000</v>
      </c>
      <c r="I18" s="25" t="n">
        <v>10000</v>
      </c>
      <c r="J18" s="25" t="n">
        <v>10000</v>
      </c>
      <c r="K18" s="25" t="n">
        <v>10000</v>
      </c>
      <c r="L18" s="25" t="n">
        <v>10000</v>
      </c>
      <c r="M18" s="25" t="n">
        <v>10000</v>
      </c>
      <c r="N18" s="25" t="n">
        <v>10000</v>
      </c>
      <c r="O18" s="26">
        <f>SUM(C18:N18)</f>
        <v/>
      </c>
    </row>
    <row r="19">
      <c r="A19" s="14" t="n">
        <v>7</v>
      </c>
      <c r="B19" s="15" t="inlineStr">
        <is>
          <t>Monitoring (Sentry, uptime)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6">
        <f>SUM(C19:N19)</f>
        <v/>
      </c>
    </row>
    <row r="20">
      <c r="A20" s="27" t="n"/>
      <c r="B20" s="28" t="inlineStr">
        <is>
          <t xml:space="preserve">  Sous-total Tech &amp; infrastructure logicielle</t>
        </is>
      </c>
      <c r="C20" s="29">
        <f>SUM(C13:C19)</f>
        <v/>
      </c>
      <c r="D20" s="29">
        <f>SUM(D13:D19)</f>
        <v/>
      </c>
      <c r="E20" s="29">
        <f>SUM(E13:E19)</f>
        <v/>
      </c>
      <c r="F20" s="29">
        <f>SUM(F13:F19)</f>
        <v/>
      </c>
      <c r="G20" s="29">
        <f>SUM(G13:G19)</f>
        <v/>
      </c>
      <c r="H20" s="29">
        <f>SUM(H13:H19)</f>
        <v/>
      </c>
      <c r="I20" s="29">
        <f>SUM(I13:I19)</f>
        <v/>
      </c>
      <c r="J20" s="29">
        <f>SUM(J13:J19)</f>
        <v/>
      </c>
      <c r="K20" s="29">
        <f>SUM(K13:K19)</f>
        <v/>
      </c>
      <c r="L20" s="29">
        <f>SUM(L13:L19)</f>
        <v/>
      </c>
      <c r="M20" s="29">
        <f>SUM(M13:M19)</f>
        <v/>
      </c>
      <c r="N20" s="29">
        <f>SUM(N13:N19)</f>
        <v/>
      </c>
      <c r="O20" s="29">
        <f>SUM(C20:N20)</f>
        <v/>
      </c>
    </row>
    <row r="22">
      <c r="A22" s="23" t="n"/>
      <c r="B22" s="24" t="inlineStr">
        <is>
          <t>RH externalisée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</row>
    <row r="23">
      <c r="A23" s="14" t="n">
        <v>1</v>
      </c>
      <c r="B23" s="15" t="inlineStr">
        <is>
          <t>Support client (freelance)</t>
        </is>
      </c>
      <c r="C23" s="25" t="n">
        <v>100000</v>
      </c>
      <c r="D23" s="25" t="n">
        <v>100000</v>
      </c>
      <c r="E23" s="25" t="n">
        <v>100000</v>
      </c>
      <c r="F23" s="25" t="n">
        <v>100000</v>
      </c>
      <c r="G23" s="25" t="n">
        <v>100000</v>
      </c>
      <c r="H23" s="25" t="n">
        <v>100000</v>
      </c>
      <c r="I23" s="25" t="n">
        <v>100000</v>
      </c>
      <c r="J23" s="25" t="n">
        <v>100000</v>
      </c>
      <c r="K23" s="25" t="n">
        <v>100000</v>
      </c>
      <c r="L23" s="25" t="n">
        <v>100000</v>
      </c>
      <c r="M23" s="25" t="n">
        <v>100000</v>
      </c>
      <c r="N23" s="25" t="n">
        <v>100000</v>
      </c>
      <c r="O23" s="26">
        <f>SUM(C23:N23)</f>
        <v/>
      </c>
    </row>
    <row r="24">
      <c r="A24" s="14" t="n">
        <v>2</v>
      </c>
      <c r="B24" s="15" t="inlineStr">
        <is>
          <t>Community manager (forfait)</t>
        </is>
      </c>
      <c r="C24" s="25" t="n">
        <v>75000</v>
      </c>
      <c r="D24" s="25" t="n">
        <v>75000</v>
      </c>
      <c r="E24" s="25" t="n">
        <v>75000</v>
      </c>
      <c r="F24" s="25" t="n">
        <v>75000</v>
      </c>
      <c r="G24" s="25" t="n">
        <v>75000</v>
      </c>
      <c r="H24" s="25" t="n">
        <v>75000</v>
      </c>
      <c r="I24" s="25" t="n">
        <v>75000</v>
      </c>
      <c r="J24" s="25" t="n">
        <v>75000</v>
      </c>
      <c r="K24" s="25" t="n">
        <v>75000</v>
      </c>
      <c r="L24" s="25" t="n">
        <v>75000</v>
      </c>
      <c r="M24" s="25" t="n">
        <v>75000</v>
      </c>
      <c r="N24" s="25" t="n">
        <v>75000</v>
      </c>
      <c r="O24" s="26">
        <f>SUM(C24:N24)</f>
        <v/>
      </c>
    </row>
    <row r="25">
      <c r="A25" s="14" t="n">
        <v>3</v>
      </c>
      <c r="B25" s="15" t="inlineStr">
        <is>
          <t>Comptable externe (forfait)</t>
        </is>
      </c>
      <c r="C25" s="25" t="n">
        <v>50000</v>
      </c>
      <c r="D25" s="25" t="n">
        <v>50000</v>
      </c>
      <c r="E25" s="25" t="n">
        <v>50000</v>
      </c>
      <c r="F25" s="25" t="n">
        <v>50000</v>
      </c>
      <c r="G25" s="25" t="n">
        <v>50000</v>
      </c>
      <c r="H25" s="25" t="n">
        <v>50000</v>
      </c>
      <c r="I25" s="25" t="n">
        <v>50000</v>
      </c>
      <c r="J25" s="25" t="n">
        <v>50000</v>
      </c>
      <c r="K25" s="25" t="n">
        <v>50000</v>
      </c>
      <c r="L25" s="25" t="n">
        <v>50000</v>
      </c>
      <c r="M25" s="25" t="n">
        <v>50000</v>
      </c>
      <c r="N25" s="25" t="n">
        <v>50000</v>
      </c>
      <c r="O25" s="26">
        <f>SUM(C25:N25)</f>
        <v/>
      </c>
    </row>
    <row r="26">
      <c r="A26" s="14" t="n">
        <v>4</v>
      </c>
      <c r="B26" s="15" t="inlineStr">
        <is>
          <t>Juriste rétainer</t>
        </is>
      </c>
      <c r="C26" s="25" t="n">
        <v>50000</v>
      </c>
      <c r="D26" s="25" t="n">
        <v>50000</v>
      </c>
      <c r="E26" s="25" t="n">
        <v>50000</v>
      </c>
      <c r="F26" s="25" t="n">
        <v>50000</v>
      </c>
      <c r="G26" s="25" t="n">
        <v>50000</v>
      </c>
      <c r="H26" s="25" t="n">
        <v>50000</v>
      </c>
      <c r="I26" s="25" t="n">
        <v>50000</v>
      </c>
      <c r="J26" s="25" t="n">
        <v>50000</v>
      </c>
      <c r="K26" s="25" t="n">
        <v>50000</v>
      </c>
      <c r="L26" s="25" t="n">
        <v>50000</v>
      </c>
      <c r="M26" s="25" t="n">
        <v>50000</v>
      </c>
      <c r="N26" s="25" t="n">
        <v>50000</v>
      </c>
      <c r="O26" s="26">
        <f>SUM(C26:N26)</f>
        <v/>
      </c>
    </row>
    <row r="27">
      <c r="A27" s="14" t="n">
        <v>5</v>
      </c>
      <c r="B27" s="15" t="inlineStr">
        <is>
          <t>Ops manager (freelance/CDD)</t>
        </is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200000</v>
      </c>
      <c r="I27" s="25" t="n">
        <v>200000</v>
      </c>
      <c r="J27" s="25" t="n">
        <v>200000</v>
      </c>
      <c r="K27" s="25" t="n">
        <v>200000</v>
      </c>
      <c r="L27" s="25" t="n">
        <v>200000</v>
      </c>
      <c r="M27" s="25" t="n">
        <v>200000</v>
      </c>
      <c r="N27" s="25" t="n">
        <v>200000</v>
      </c>
      <c r="O27" s="26">
        <f>SUM(C27:N27)</f>
        <v/>
      </c>
    </row>
    <row r="28">
      <c r="A28" s="27" t="n"/>
      <c r="B28" s="28" t="inlineStr">
        <is>
          <t xml:space="preserve">  Sous-total RH externalisée</t>
        </is>
      </c>
      <c r="C28" s="29">
        <f>SUM(C23:C27)</f>
        <v/>
      </c>
      <c r="D28" s="29">
        <f>SUM(D23:D27)</f>
        <v/>
      </c>
      <c r="E28" s="29">
        <f>SUM(E23:E27)</f>
        <v/>
      </c>
      <c r="F28" s="29">
        <f>SUM(F23:F27)</f>
        <v/>
      </c>
      <c r="G28" s="29">
        <f>SUM(G23:G27)</f>
        <v/>
      </c>
      <c r="H28" s="29">
        <f>SUM(H23:H27)</f>
        <v/>
      </c>
      <c r="I28" s="29">
        <f>SUM(I23:I27)</f>
        <v/>
      </c>
      <c r="J28" s="29">
        <f>SUM(J23:J27)</f>
        <v/>
      </c>
      <c r="K28" s="29">
        <f>SUM(K23:K27)</f>
        <v/>
      </c>
      <c r="L28" s="29">
        <f>SUM(L23:L27)</f>
        <v/>
      </c>
      <c r="M28" s="29">
        <f>SUM(M23:M27)</f>
        <v/>
      </c>
      <c r="N28" s="29">
        <f>SUM(N23:N27)</f>
        <v/>
      </c>
      <c r="O28" s="29">
        <f>SUM(C28:N28)</f>
        <v/>
      </c>
    </row>
    <row r="30">
      <c r="A30" s="23" t="n"/>
      <c r="B30" s="24" t="inlineStr">
        <is>
          <t>Marketing &amp; acquisition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</row>
    <row r="31">
      <c r="A31" s="14" t="n">
        <v>1</v>
      </c>
      <c r="B31" s="15" t="inlineStr">
        <is>
          <t>Ads Meta (Facebook + Instagram)</t>
        </is>
      </c>
      <c r="C31" s="25" t="n">
        <v>225000</v>
      </c>
      <c r="D31" s="25" t="n">
        <v>225000</v>
      </c>
      <c r="E31" s="25" t="n">
        <v>225000</v>
      </c>
      <c r="F31" s="25" t="n">
        <v>225000</v>
      </c>
      <c r="G31" s="25" t="n">
        <v>225000</v>
      </c>
      <c r="H31" s="25" t="n">
        <v>225000</v>
      </c>
      <c r="I31" s="25" t="n">
        <v>225000</v>
      </c>
      <c r="J31" s="25" t="n">
        <v>225000</v>
      </c>
      <c r="K31" s="25" t="n">
        <v>225000</v>
      </c>
      <c r="L31" s="25" t="n">
        <v>225000</v>
      </c>
      <c r="M31" s="25" t="n">
        <v>225000</v>
      </c>
      <c r="N31" s="25" t="n">
        <v>225000</v>
      </c>
      <c r="O31" s="26">
        <f>SUM(C31:N31)</f>
        <v/>
      </c>
    </row>
    <row r="32">
      <c r="A32" s="14" t="n">
        <v>2</v>
      </c>
      <c r="B32" s="15" t="inlineStr">
        <is>
          <t>Ads Google</t>
        </is>
      </c>
      <c r="C32" s="25" t="n">
        <v>112500</v>
      </c>
      <c r="D32" s="25" t="n">
        <v>112500</v>
      </c>
      <c r="E32" s="25" t="n">
        <v>112500</v>
      </c>
      <c r="F32" s="25" t="n">
        <v>112500</v>
      </c>
      <c r="G32" s="25" t="n">
        <v>112500</v>
      </c>
      <c r="H32" s="25" t="n">
        <v>112500</v>
      </c>
      <c r="I32" s="25" t="n">
        <v>112500</v>
      </c>
      <c r="J32" s="25" t="n">
        <v>112500</v>
      </c>
      <c r="K32" s="25" t="n">
        <v>112500</v>
      </c>
      <c r="L32" s="25" t="n">
        <v>112500</v>
      </c>
      <c r="M32" s="25" t="n">
        <v>112500</v>
      </c>
      <c r="N32" s="25" t="n">
        <v>112500</v>
      </c>
      <c r="O32" s="26">
        <f>SUM(C32:N32)</f>
        <v/>
      </c>
    </row>
    <row r="33">
      <c r="A33" s="14" t="n">
        <v>3</v>
      </c>
      <c r="B33" s="15" t="inlineStr">
        <is>
          <t>Influenceurs locaux</t>
        </is>
      </c>
      <c r="C33" s="25" t="n">
        <v>112500</v>
      </c>
      <c r="D33" s="25" t="n">
        <v>112500</v>
      </c>
      <c r="E33" s="25" t="n">
        <v>112500</v>
      </c>
      <c r="F33" s="25" t="n">
        <v>112500</v>
      </c>
      <c r="G33" s="25" t="n">
        <v>112500</v>
      </c>
      <c r="H33" s="25" t="n">
        <v>112500</v>
      </c>
      <c r="I33" s="25" t="n">
        <v>112500</v>
      </c>
      <c r="J33" s="25" t="n">
        <v>112500</v>
      </c>
      <c r="K33" s="25" t="n">
        <v>112500</v>
      </c>
      <c r="L33" s="25" t="n">
        <v>112500</v>
      </c>
      <c r="M33" s="25" t="n">
        <v>112500</v>
      </c>
      <c r="N33" s="25" t="n">
        <v>112500</v>
      </c>
      <c r="O33" s="26">
        <f>SUM(C33:N33)</f>
        <v/>
      </c>
    </row>
    <row r="34">
      <c r="A34" s="14" t="n">
        <v>4</v>
      </c>
      <c r="B34" s="15" t="inlineStr">
        <is>
          <t>Radio locale (spots)</t>
        </is>
      </c>
      <c r="C34" s="25" t="n">
        <v>150000</v>
      </c>
      <c r="D34" s="25" t="n">
        <v>150000</v>
      </c>
      <c r="E34" s="25" t="n">
        <v>150000</v>
      </c>
      <c r="F34" s="25" t="n">
        <v>150000</v>
      </c>
      <c r="G34" s="25" t="n">
        <v>150000</v>
      </c>
      <c r="H34" s="25" t="n">
        <v>150000</v>
      </c>
      <c r="I34" s="25" t="n">
        <v>150000</v>
      </c>
      <c r="J34" s="25" t="n">
        <v>150000</v>
      </c>
      <c r="K34" s="25" t="n">
        <v>150000</v>
      </c>
      <c r="L34" s="25" t="n">
        <v>150000</v>
      </c>
      <c r="M34" s="25" t="n">
        <v>150000</v>
      </c>
      <c r="N34" s="25" t="n">
        <v>150000</v>
      </c>
      <c r="O34" s="26">
        <f>SUM(C34:N34)</f>
        <v/>
      </c>
    </row>
    <row r="35">
      <c r="A35" s="14" t="n">
        <v>5</v>
      </c>
      <c r="B35" s="15" t="inlineStr">
        <is>
          <t>Street marketing + flyers</t>
        </is>
      </c>
      <c r="C35" s="25" t="n">
        <v>75000</v>
      </c>
      <c r="D35" s="25" t="n">
        <v>75000</v>
      </c>
      <c r="E35" s="25" t="n">
        <v>75000</v>
      </c>
      <c r="F35" s="25" t="n">
        <v>75000</v>
      </c>
      <c r="G35" s="25" t="n">
        <v>75000</v>
      </c>
      <c r="H35" s="25" t="n">
        <v>75000</v>
      </c>
      <c r="I35" s="25" t="n">
        <v>75000</v>
      </c>
      <c r="J35" s="25" t="n">
        <v>75000</v>
      </c>
      <c r="K35" s="25" t="n">
        <v>75000</v>
      </c>
      <c r="L35" s="25" t="n">
        <v>75000</v>
      </c>
      <c r="M35" s="25" t="n">
        <v>75000</v>
      </c>
      <c r="N35" s="25" t="n">
        <v>75000</v>
      </c>
      <c r="O35" s="26">
        <f>SUM(C35:N35)</f>
        <v/>
      </c>
    </row>
    <row r="36">
      <c r="A36" s="14" t="n">
        <v>6</v>
      </c>
      <c r="B36" s="15" t="inlineStr">
        <is>
          <t>Parrainage bonus 500 FCFA</t>
        </is>
      </c>
      <c r="C36" s="25" t="n">
        <v>75000</v>
      </c>
      <c r="D36" s="25" t="n">
        <v>75000</v>
      </c>
      <c r="E36" s="25" t="n">
        <v>75000</v>
      </c>
      <c r="F36" s="25" t="n">
        <v>75000</v>
      </c>
      <c r="G36" s="25" t="n">
        <v>75000</v>
      </c>
      <c r="H36" s="25" t="n">
        <v>75000</v>
      </c>
      <c r="I36" s="25" t="n">
        <v>75000</v>
      </c>
      <c r="J36" s="25" t="n">
        <v>75000</v>
      </c>
      <c r="K36" s="25" t="n">
        <v>75000</v>
      </c>
      <c r="L36" s="25" t="n">
        <v>75000</v>
      </c>
      <c r="M36" s="25" t="n">
        <v>75000</v>
      </c>
      <c r="N36" s="25" t="n">
        <v>75000</v>
      </c>
      <c r="O36" s="26">
        <f>SUM(C36:N36)</f>
        <v/>
      </c>
    </row>
    <row r="37">
      <c r="A37" s="27" t="n"/>
      <c r="B37" s="28" t="inlineStr">
        <is>
          <t xml:space="preserve">  Sous-total Marketing &amp; acquisition</t>
        </is>
      </c>
      <c r="C37" s="29">
        <f>SUM(C31:C36)</f>
        <v/>
      </c>
      <c r="D37" s="29">
        <f>SUM(D31:D36)</f>
        <v/>
      </c>
      <c r="E37" s="29">
        <f>SUM(E31:E36)</f>
        <v/>
      </c>
      <c r="F37" s="29">
        <f>SUM(F31:F36)</f>
        <v/>
      </c>
      <c r="G37" s="29">
        <f>SUM(G31:G36)</f>
        <v/>
      </c>
      <c r="H37" s="29">
        <f>SUM(H31:H36)</f>
        <v/>
      </c>
      <c r="I37" s="29">
        <f>SUM(I31:I36)</f>
        <v/>
      </c>
      <c r="J37" s="29">
        <f>SUM(J31:J36)</f>
        <v/>
      </c>
      <c r="K37" s="29">
        <f>SUM(K31:K36)</f>
        <v/>
      </c>
      <c r="L37" s="29">
        <f>SUM(L31:L36)</f>
        <v/>
      </c>
      <c r="M37" s="29">
        <f>SUM(M31:M36)</f>
        <v/>
      </c>
      <c r="N37" s="29">
        <f>SUM(N31:N36)</f>
        <v/>
      </c>
      <c r="O37" s="29">
        <f>SUM(C37:N37)</f>
        <v/>
      </c>
    </row>
    <row r="39">
      <c r="A39" s="23" t="n"/>
      <c r="B39" s="24" t="inlineStr">
        <is>
          <t>Financier &amp; assurance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</row>
    <row r="40">
      <c r="A40" s="14" t="n">
        <v>1</v>
      </c>
      <c r="B40" s="15" t="inlineStr">
        <is>
          <t>Frais tenue compte pro</t>
        </is>
      </c>
      <c r="C40" s="25" t="n">
        <v>10000</v>
      </c>
      <c r="D40" s="25" t="n">
        <v>10000</v>
      </c>
      <c r="E40" s="25" t="n">
        <v>10000</v>
      </c>
      <c r="F40" s="25" t="n">
        <v>10000</v>
      </c>
      <c r="G40" s="25" t="n">
        <v>10000</v>
      </c>
      <c r="H40" s="25" t="n">
        <v>10000</v>
      </c>
      <c r="I40" s="25" t="n">
        <v>10000</v>
      </c>
      <c r="J40" s="25" t="n">
        <v>10000</v>
      </c>
      <c r="K40" s="25" t="n">
        <v>10000</v>
      </c>
      <c r="L40" s="25" t="n">
        <v>10000</v>
      </c>
      <c r="M40" s="25" t="n">
        <v>10000</v>
      </c>
      <c r="N40" s="25" t="n">
        <v>10000</v>
      </c>
      <c r="O40" s="26">
        <f>SUM(C40:N40)</f>
        <v/>
      </c>
    </row>
    <row r="41">
      <c r="A41" s="14" t="n">
        <v>2</v>
      </c>
      <c r="B41" s="15" t="inlineStr">
        <is>
          <t>Frais Mobile Money out (retraits)</t>
        </is>
      </c>
      <c r="C41" s="25" t="n">
        <v>30000</v>
      </c>
      <c r="D41" s="25" t="n">
        <v>30000</v>
      </c>
      <c r="E41" s="25" t="n">
        <v>30000</v>
      </c>
      <c r="F41" s="25" t="n">
        <v>30000</v>
      </c>
      <c r="G41" s="25" t="n">
        <v>30000</v>
      </c>
      <c r="H41" s="25" t="n">
        <v>30000</v>
      </c>
      <c r="I41" s="25" t="n">
        <v>30000</v>
      </c>
      <c r="J41" s="25" t="n">
        <v>30000</v>
      </c>
      <c r="K41" s="25" t="n">
        <v>30000</v>
      </c>
      <c r="L41" s="25" t="n">
        <v>30000</v>
      </c>
      <c r="M41" s="25" t="n">
        <v>30000</v>
      </c>
      <c r="N41" s="25" t="n">
        <v>30000</v>
      </c>
      <c r="O41" s="26">
        <f>SUM(C41:N41)</f>
        <v/>
      </c>
    </row>
    <row r="42">
      <c r="A42" s="14" t="n">
        <v>3</v>
      </c>
      <c r="B42" s="15" t="inlineStr">
        <is>
          <t>Assurance RC pro plateforme</t>
        </is>
      </c>
      <c r="C42" s="25" t="n">
        <v>41666</v>
      </c>
      <c r="D42" s="25" t="n">
        <v>41666</v>
      </c>
      <c r="E42" s="25" t="n">
        <v>41666</v>
      </c>
      <c r="F42" s="25" t="n">
        <v>41666</v>
      </c>
      <c r="G42" s="25" t="n">
        <v>41666</v>
      </c>
      <c r="H42" s="25" t="n">
        <v>41666</v>
      </c>
      <c r="I42" s="25" t="n">
        <v>41666</v>
      </c>
      <c r="J42" s="25" t="n">
        <v>41666</v>
      </c>
      <c r="K42" s="25" t="n">
        <v>41666</v>
      </c>
      <c r="L42" s="25" t="n">
        <v>41666</v>
      </c>
      <c r="M42" s="25" t="n">
        <v>41666</v>
      </c>
      <c r="N42" s="25" t="n">
        <v>41666</v>
      </c>
      <c r="O42" s="26">
        <f>SUM(C42:N42)</f>
        <v/>
      </c>
    </row>
    <row r="43">
      <c r="A43" s="27" t="n"/>
      <c r="B43" s="28" t="inlineStr">
        <is>
          <t xml:space="preserve">  Sous-total Financier &amp; assurance</t>
        </is>
      </c>
      <c r="C43" s="29">
        <f>SUM(C40:C42)</f>
        <v/>
      </c>
      <c r="D43" s="29">
        <f>SUM(D40:D42)</f>
        <v/>
      </c>
      <c r="E43" s="29">
        <f>SUM(E40:E42)</f>
        <v/>
      </c>
      <c r="F43" s="29">
        <f>SUM(F40:F42)</f>
        <v/>
      </c>
      <c r="G43" s="29">
        <f>SUM(G40:G42)</f>
        <v/>
      </c>
      <c r="H43" s="29">
        <f>SUM(H40:H42)</f>
        <v/>
      </c>
      <c r="I43" s="29">
        <f>SUM(I40:I42)</f>
        <v/>
      </c>
      <c r="J43" s="29">
        <f>SUM(J40:J42)</f>
        <v/>
      </c>
      <c r="K43" s="29">
        <f>SUM(K40:K42)</f>
        <v/>
      </c>
      <c r="L43" s="29">
        <f>SUM(L40:L42)</f>
        <v/>
      </c>
      <c r="M43" s="29">
        <f>SUM(M40:M42)</f>
        <v/>
      </c>
      <c r="N43" s="29">
        <f>SUM(N40:N42)</f>
        <v/>
      </c>
      <c r="O43" s="29">
        <f>SUM(C43:N43)</f>
        <v/>
      </c>
    </row>
    <row r="45">
      <c r="A45" s="23" t="n"/>
      <c r="B45" s="24" t="inlineStr">
        <is>
          <t>Extension géographique</t>
        </is>
      </c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</row>
    <row r="46">
      <c r="A46" s="14" t="n">
        <v>1</v>
      </c>
      <c r="B46" s="15" t="inlineStr">
        <is>
          <t>Loyer bureau annexe Parakou</t>
        </is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100000</v>
      </c>
      <c r="I46" s="25" t="n">
        <v>100000</v>
      </c>
      <c r="J46" s="25" t="n">
        <v>100000</v>
      </c>
      <c r="K46" s="25" t="n">
        <v>100000</v>
      </c>
      <c r="L46" s="25" t="n">
        <v>100000</v>
      </c>
      <c r="M46" s="25" t="n">
        <v>100000</v>
      </c>
      <c r="N46" s="25" t="n">
        <v>100000</v>
      </c>
      <c r="O46" s="26">
        <f>SUM(C46:N46)</f>
        <v/>
      </c>
    </row>
    <row r="47">
      <c r="A47" s="14" t="n">
        <v>2</v>
      </c>
      <c r="B47" s="15" t="inlineStr">
        <is>
          <t>Charges Parakou (élec + internet)</t>
        </is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v>25000</v>
      </c>
      <c r="I47" s="25" t="n">
        <v>25000</v>
      </c>
      <c r="J47" s="25" t="n">
        <v>25000</v>
      </c>
      <c r="K47" s="25" t="n">
        <v>25000</v>
      </c>
      <c r="L47" s="25" t="n">
        <v>25000</v>
      </c>
      <c r="M47" s="25" t="n">
        <v>25000</v>
      </c>
      <c r="N47" s="25" t="n">
        <v>25000</v>
      </c>
      <c r="O47" s="26">
        <f>SUM(C47:N47)</f>
        <v/>
      </c>
    </row>
    <row r="48">
      <c r="A48" s="27" t="n"/>
      <c r="B48" s="28" t="inlineStr">
        <is>
          <t xml:space="preserve">  Sous-total Extension géographique</t>
        </is>
      </c>
      <c r="C48" s="29">
        <f>SUM(C46:C47)</f>
        <v/>
      </c>
      <c r="D48" s="29">
        <f>SUM(D46:D47)</f>
        <v/>
      </c>
      <c r="E48" s="29">
        <f>SUM(E46:E47)</f>
        <v/>
      </c>
      <c r="F48" s="29">
        <f>SUM(F46:F47)</f>
        <v/>
      </c>
      <c r="G48" s="29">
        <f>SUM(G46:G47)</f>
        <v/>
      </c>
      <c r="H48" s="29">
        <f>SUM(H46:H47)</f>
        <v/>
      </c>
      <c r="I48" s="29">
        <f>SUM(I46:I47)</f>
        <v/>
      </c>
      <c r="J48" s="29">
        <f>SUM(J46:J47)</f>
        <v/>
      </c>
      <c r="K48" s="29">
        <f>SUM(K46:K47)</f>
        <v/>
      </c>
      <c r="L48" s="29">
        <f>SUM(L46:L47)</f>
        <v/>
      </c>
      <c r="M48" s="29">
        <f>SUM(M46:M47)</f>
        <v/>
      </c>
      <c r="N48" s="29">
        <f>SUM(N46:N47)</f>
        <v/>
      </c>
      <c r="O48" s="29">
        <f>SUM(C48:N48)</f>
        <v/>
      </c>
    </row>
    <row r="50">
      <c r="A50" s="23" t="n"/>
      <c r="B50" s="24" t="inlineStr">
        <is>
          <t>Provisions</t>
        </is>
      </c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</row>
    <row r="51" ht="39.6" customHeight="1">
      <c r="A51" s="14" t="n">
        <v>1</v>
      </c>
      <c r="B51" s="59" t="inlineStr">
        <is>
          <t>Remboursement ADR — déplacé vers onglet « Cash flow ADR »</t>
        </is>
      </c>
      <c r="C51" s="60" t="n">
        <v>0</v>
      </c>
      <c r="D51" s="60" t="n">
        <v>0</v>
      </c>
      <c r="E51" s="60" t="n">
        <v>0</v>
      </c>
      <c r="F51" s="60" t="n">
        <v>0</v>
      </c>
      <c r="G51" s="60" t="n">
        <v>0</v>
      </c>
      <c r="H51" s="60" t="n">
        <v>0</v>
      </c>
      <c r="I51" s="60" t="n">
        <v>0</v>
      </c>
      <c r="J51" s="60" t="n">
        <v>0</v>
      </c>
      <c r="K51" s="60" t="n">
        <v>0</v>
      </c>
      <c r="L51" s="60" t="n">
        <v>0</v>
      </c>
      <c r="M51" s="60" t="n">
        <v>0</v>
      </c>
      <c r="N51" s="60" t="n">
        <v>0</v>
      </c>
      <c r="O51" s="60" t="n">
        <v>0</v>
      </c>
    </row>
    <row r="52">
      <c r="A52" s="27" t="n"/>
      <c r="B52" s="28" t="inlineStr">
        <is>
          <t xml:space="preserve">  Sous-total Provisions</t>
        </is>
      </c>
      <c r="C52" s="29">
        <f>SUM(C51:C51)</f>
        <v/>
      </c>
      <c r="D52" s="29">
        <f>SUM(D51:D51)</f>
        <v/>
      </c>
      <c r="E52" s="29">
        <f>SUM(E51:E51)</f>
        <v/>
      </c>
      <c r="F52" s="29">
        <f>SUM(F51:F51)</f>
        <v/>
      </c>
      <c r="G52" s="29">
        <f>SUM(G51:G51)</f>
        <v/>
      </c>
      <c r="H52" s="29">
        <f>SUM(H51:H51)</f>
        <v/>
      </c>
      <c r="I52" s="29">
        <f>SUM(I51:I51)</f>
        <v/>
      </c>
      <c r="J52" s="29">
        <f>SUM(J51:J51)</f>
        <v/>
      </c>
      <c r="K52" s="29">
        <f>SUM(K51:K51)</f>
        <v/>
      </c>
      <c r="L52" s="29">
        <f>SUM(L51:L51)</f>
        <v/>
      </c>
      <c r="M52" s="29">
        <f>SUM(M51:M51)</f>
        <v/>
      </c>
      <c r="N52" s="29">
        <f>SUM(N51:N51)</f>
        <v/>
      </c>
      <c r="O52" s="29">
        <f>SUM(C52:N52)</f>
        <v/>
      </c>
    </row>
    <row r="54">
      <c r="A54" s="30" t="n"/>
      <c r="B54" s="19" t="inlineStr">
        <is>
          <t>TOTAL OPEX MENSUEL</t>
        </is>
      </c>
      <c r="C54" s="31">
        <f>C10+C20+C28+C37+C43+C48+C52</f>
        <v/>
      </c>
      <c r="D54" s="31">
        <f>D10+D20+D28+D37+D43+D48+D52</f>
        <v/>
      </c>
      <c r="E54" s="31">
        <f>E10+E20+E28+E37+E43+E48+E52</f>
        <v/>
      </c>
      <c r="F54" s="31">
        <f>F10+F20+F28+F37+F43+F48+F52</f>
        <v/>
      </c>
      <c r="G54" s="31">
        <f>G10+G20+G28+G37+G43+G48+G52</f>
        <v/>
      </c>
      <c r="H54" s="31">
        <f>H10+H20+H28+H37+H43+H48+H52</f>
        <v/>
      </c>
      <c r="I54" s="31">
        <f>I10+I20+I28+I37+I43+I48+I52</f>
        <v/>
      </c>
      <c r="J54" s="31">
        <f>J10+J20+J28+J37+J43+J48+J52</f>
        <v/>
      </c>
      <c r="K54" s="31">
        <f>K10+K20+K28+K37+K43+K48+K52</f>
        <v/>
      </c>
      <c r="L54" s="31">
        <f>L10+L20+L28+L37+L43+L48+L52</f>
        <v/>
      </c>
      <c r="M54" s="31">
        <f>M10+M20+M28+M37+M43+M48+M52</f>
        <v/>
      </c>
      <c r="N54" s="31">
        <f>N10+N20+N28+N37+N43+N48+N52</f>
        <v/>
      </c>
      <c r="O54" s="31">
        <f>SUM(C54:N54)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A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15" sqref="B15:AA15"/>
    </sheetView>
  </sheetViews>
  <sheetFormatPr baseColWidth="10" defaultColWidth="8.88671875" defaultRowHeight="19.8"/>
  <cols>
    <col width="4" customWidth="1" style="66" min="1" max="1"/>
    <col width="34.5546875" customWidth="1" style="66" min="2" max="2"/>
    <col width="17.5546875" customWidth="1" style="66" min="3" max="3"/>
    <col width="11" customWidth="1" style="66" min="4" max="10"/>
    <col width="15.44140625" customWidth="1" style="66" min="11" max="11"/>
    <col width="11" customWidth="1" style="66" min="12" max="12"/>
    <col width="16.88671875" customWidth="1" style="66" min="13" max="13"/>
    <col width="14.77734375" customWidth="1" style="66" min="14" max="14"/>
    <col width="15.6640625" customWidth="1" style="66" min="15" max="15"/>
    <col width="11" customWidth="1" style="66" min="16" max="16"/>
    <col width="16.88671875" customWidth="1" style="66" min="17" max="17"/>
    <col width="15.77734375" customWidth="1" style="66" min="18" max="18"/>
    <col width="17" customWidth="1" style="66" min="19" max="19"/>
    <col width="17.109375" customWidth="1" style="66" min="20" max="20"/>
    <col width="15.88671875" customWidth="1" style="66" min="21" max="21"/>
    <col width="18.6640625" customWidth="1" style="66" min="22" max="22"/>
    <col width="16.109375" customWidth="1" style="66" min="23" max="23"/>
    <col width="16.5546875" customWidth="1" style="66" min="24" max="24"/>
    <col width="16.6640625" customWidth="1" style="66" min="25" max="25"/>
    <col width="15.6640625" customWidth="1" style="66" min="26" max="26"/>
    <col width="14.77734375" customWidth="1" style="66" min="27" max="27"/>
    <col width="8.88671875" customWidth="1" style="66" min="28" max="28"/>
    <col width="8.88671875" customWidth="1" style="66" min="29" max="16384"/>
  </cols>
  <sheetData>
    <row r="2" ht="22.05" customHeight="1">
      <c r="B2" s="13" t="inlineStr">
        <is>
          <t>Recettes plateforme TamCar — projection 24 mois</t>
        </is>
      </c>
    </row>
    <row r="4">
      <c r="A4" s="4" t="inlineStr">
        <is>
          <t>#</t>
        </is>
      </c>
      <c r="B4" s="4" t="inlineStr">
        <is>
          <t>Ligne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M13</t>
        </is>
      </c>
      <c r="P4" s="4" t="inlineStr">
        <is>
          <t>M14</t>
        </is>
      </c>
      <c r="Q4" s="4" t="inlineStr">
        <is>
          <t>M15</t>
        </is>
      </c>
      <c r="R4" s="4" t="inlineStr">
        <is>
          <t>M16</t>
        </is>
      </c>
      <c r="S4" s="4" t="inlineStr">
        <is>
          <t>M17</t>
        </is>
      </c>
      <c r="T4" s="4" t="inlineStr">
        <is>
          <t>M18</t>
        </is>
      </c>
      <c r="U4" s="4" t="inlineStr">
        <is>
          <t>M19</t>
        </is>
      </c>
      <c r="V4" s="4" t="inlineStr">
        <is>
          <t>M20</t>
        </is>
      </c>
      <c r="W4" s="4" t="inlineStr">
        <is>
          <t>M21</t>
        </is>
      </c>
      <c r="X4" s="4" t="inlineStr">
        <is>
          <t>M22</t>
        </is>
      </c>
      <c r="Y4" s="4" t="inlineStr">
        <is>
          <t>M23</t>
        </is>
      </c>
      <c r="Z4" s="4" t="inlineStr">
        <is>
          <t>M24</t>
        </is>
      </c>
      <c r="AA4" s="4" t="inlineStr">
        <is>
          <t>Total 24m</t>
        </is>
      </c>
    </row>
    <row r="5">
      <c r="A5" s="36" t="n">
        <v>1</v>
      </c>
      <c r="B5" s="37" t="inlineStr">
        <is>
          <t>Nb véhicules actifs</t>
        </is>
      </c>
      <c r="C5" s="38" t="n">
        <v>0</v>
      </c>
      <c r="D5" s="38" t="n">
        <v>0</v>
      </c>
      <c r="E5" s="38" t="n">
        <v>3</v>
      </c>
      <c r="F5" s="38" t="n">
        <v>5</v>
      </c>
      <c r="G5" s="38" t="n">
        <v>7</v>
      </c>
      <c r="H5" s="38" t="n">
        <v>10</v>
      </c>
      <c r="I5" s="38" t="n">
        <v>12</v>
      </c>
      <c r="J5" s="38" t="n">
        <v>13</v>
      </c>
      <c r="K5" s="38" t="n">
        <v>15</v>
      </c>
      <c r="L5" s="38" t="n">
        <v>17</v>
      </c>
      <c r="M5" s="38" t="n">
        <v>20</v>
      </c>
      <c r="N5" s="38" t="n">
        <v>25</v>
      </c>
      <c r="O5" s="38" t="n">
        <v>25</v>
      </c>
      <c r="P5" s="38" t="n">
        <v>26</v>
      </c>
      <c r="Q5" s="38" t="n">
        <v>27</v>
      </c>
      <c r="R5" s="38" t="n">
        <v>28</v>
      </c>
      <c r="S5" s="38" t="n">
        <v>29</v>
      </c>
      <c r="T5" s="38" t="n">
        <v>30</v>
      </c>
      <c r="U5" s="38" t="n">
        <v>30</v>
      </c>
      <c r="V5" s="38" t="n">
        <v>30</v>
      </c>
      <c r="W5" s="38" t="n">
        <v>30</v>
      </c>
      <c r="X5" s="38" t="n">
        <v>30</v>
      </c>
      <c r="Y5" s="38" t="n">
        <v>30</v>
      </c>
      <c r="Z5" s="38" t="n">
        <v>30</v>
      </c>
    </row>
    <row r="6">
      <c r="A6" s="36" t="n">
        <v>2</v>
      </c>
      <c r="B6" s="37" t="inlineStr">
        <is>
          <t>Recette plateforme / véh / mois</t>
        </is>
      </c>
      <c r="C6" s="38" t="n">
        <v>70000</v>
      </c>
      <c r="D6" s="38" t="n">
        <v>70000</v>
      </c>
      <c r="E6" s="38" t="n">
        <v>70000</v>
      </c>
      <c r="F6" s="38" t="n">
        <v>70000</v>
      </c>
      <c r="G6" s="38" t="n">
        <v>70000</v>
      </c>
      <c r="H6" s="38" t="n">
        <v>70000</v>
      </c>
      <c r="I6" s="38" t="n">
        <v>70000</v>
      </c>
      <c r="J6" s="38" t="n">
        <v>70000</v>
      </c>
      <c r="K6" s="38" t="n">
        <v>70000</v>
      </c>
      <c r="L6" s="38" t="n">
        <v>70000</v>
      </c>
      <c r="M6" s="38" t="n">
        <v>70000</v>
      </c>
      <c r="N6" s="38" t="n">
        <v>70000</v>
      </c>
      <c r="O6" s="38" t="n">
        <v>100000</v>
      </c>
      <c r="P6" s="38" t="n">
        <v>120000</v>
      </c>
      <c r="Q6" s="38" t="n">
        <v>130000</v>
      </c>
      <c r="R6" s="38" t="n">
        <v>140000</v>
      </c>
      <c r="S6" s="38" t="n">
        <v>140000</v>
      </c>
      <c r="T6" s="38" t="n">
        <v>140000</v>
      </c>
      <c r="U6" s="38" t="n">
        <v>140000</v>
      </c>
      <c r="V6" s="38" t="n">
        <v>140000</v>
      </c>
      <c r="W6" s="38" t="n">
        <v>140000</v>
      </c>
      <c r="X6" s="38" t="n">
        <v>140000</v>
      </c>
      <c r="Y6" s="38" t="n">
        <v>140000</v>
      </c>
      <c r="Z6" s="38" t="n">
        <v>140000</v>
      </c>
    </row>
    <row r="7">
      <c r="A7" s="36" t="n">
        <v>3</v>
      </c>
      <c r="B7" s="39" t="inlineStr">
        <is>
          <t>RECETTES PLATEFORME TOTAL</t>
        </is>
      </c>
      <c r="C7" s="40">
        <f>C5*C6</f>
        <v/>
      </c>
      <c r="D7" s="40">
        <f>D5*D6</f>
        <v/>
      </c>
      <c r="E7" s="40">
        <f>E5*E6</f>
        <v/>
      </c>
      <c r="F7" s="40">
        <f>F5*F6</f>
        <v/>
      </c>
      <c r="G7" s="40">
        <f>G5*G6</f>
        <v/>
      </c>
      <c r="H7" s="40">
        <f>H5*H6</f>
        <v/>
      </c>
      <c r="I7" s="40">
        <f>I5*I6</f>
        <v/>
      </c>
      <c r="J7" s="40">
        <f>J5*J6</f>
        <v/>
      </c>
      <c r="K7" s="40">
        <f>K5*K6</f>
        <v/>
      </c>
      <c r="L7" s="40">
        <f>L5*L6</f>
        <v/>
      </c>
      <c r="M7" s="40">
        <f>M5*M6</f>
        <v/>
      </c>
      <c r="N7" s="40">
        <f>N5*N6</f>
        <v/>
      </c>
      <c r="O7" s="40">
        <f>O5*O6</f>
        <v/>
      </c>
      <c r="P7" s="40">
        <f>P5*P6</f>
        <v/>
      </c>
      <c r="Q7" s="40">
        <f>Q5*Q6</f>
        <v/>
      </c>
      <c r="R7" s="40">
        <f>R5*R6</f>
        <v/>
      </c>
      <c r="S7" s="40">
        <f>S5*S6</f>
        <v/>
      </c>
      <c r="T7" s="40">
        <f>T5*T6</f>
        <v/>
      </c>
      <c r="U7" s="40">
        <f>U5*U6</f>
        <v/>
      </c>
      <c r="V7" s="40">
        <f>V5*V6</f>
        <v/>
      </c>
      <c r="W7" s="40">
        <f>W5*W6</f>
        <v/>
      </c>
      <c r="X7" s="40">
        <f>X5*X6</f>
        <v/>
      </c>
      <c r="Y7" s="40">
        <f>Y5*Y6</f>
        <v/>
      </c>
      <c r="Z7" s="40">
        <f>Z5*Z6</f>
        <v/>
      </c>
      <c r="AA7" s="40">
        <f>SUM(C7:Z7)</f>
        <v/>
      </c>
    </row>
    <row r="9">
      <c r="B9" s="41" t="inlineStr">
        <is>
          <t>Récap An 1 (M1-M12)</t>
        </is>
      </c>
      <c r="C9" s="42">
        <f>SUM(C7:N7)</f>
        <v/>
      </c>
    </row>
    <row r="10">
      <c r="B10" s="41" t="inlineStr">
        <is>
          <t>Récap An 2 (M13-M24)</t>
        </is>
      </c>
      <c r="C10" s="42">
        <f>SUM(O7:Z7)</f>
        <v/>
      </c>
    </row>
    <row r="11">
      <c r="B11" s="43" t="inlineStr">
        <is>
          <t>Total 24 mois</t>
        </is>
      </c>
      <c r="C11" s="44">
        <f>SUM(C7:Z7)</f>
        <v/>
      </c>
    </row>
    <row r="14">
      <c r="B14" s="45" t="inlineStr">
        <is>
          <t>Méthodologie</t>
        </is>
      </c>
    </row>
    <row r="15">
      <c r="B15" s="65" t="inlineStr">
        <is>
          <t>Recette plateforme = 20 % du volume brut par course + part sur fonds rachat (30 % An 1 → 20 % An 2).</t>
        </is>
      </c>
    </row>
    <row r="16">
      <c r="B16" s="65" t="inlineStr">
        <is>
          <t>An 1 (scénario prudent) : 10 courses/j × 25 j × 1 200 FCFA prix moyen = 300 000 FCFA volume/véh/mois.</t>
        </is>
      </c>
    </row>
    <row r="17">
      <c r="B17" s="65" t="inlineStr">
        <is>
          <t xml:space="preserve">  → Plateforme : 20 % × 300 000 + 30 % × 30 000 (rachat) = 69 000 → arrondi 70 000 FCFA/véh/mois.</t>
        </is>
      </c>
    </row>
    <row r="18">
      <c r="B18" s="65" t="inlineStr">
        <is>
          <t>An 2 (scénario réaliste, maturité) : 10 courses/j × 26 j × 2 500 FCFA = 650 000 FCFA volume/véh/mois.</t>
        </is>
      </c>
    </row>
    <row r="19">
      <c r="B19" s="65" t="inlineStr">
        <is>
          <t xml:space="preserve">  → Plateforme : 20 % × 650 000 + 15 % × 65 000 (rachat, moyenne An 2) = 140 000 FCFA/véh/mois.</t>
        </is>
      </c>
    </row>
    <row r="20">
      <c r="B20" s="65" t="inlineStr">
        <is>
          <t>Montée en charge véhicules : 0 → 25 sur An 1 (onboarding progressif), 25 → 30 sur An 2 (extension Parakou).</t>
        </is>
      </c>
    </row>
    <row r="21">
      <c r="B21" s="65" t="inlineStr">
        <is>
          <t>Pour ajuster : modifier les valeurs des lignes 5 (véhicules) et 6 (recette unitaire), les totaux se recalculent automatiquement.</t>
        </is>
      </c>
    </row>
  </sheetData>
  <mergeCells count="7">
    <mergeCell ref="B17:AA17"/>
    <mergeCell ref="B18:AA18"/>
    <mergeCell ref="B21:AA21"/>
    <mergeCell ref="B16:AA16"/>
    <mergeCell ref="B15:AA15"/>
    <mergeCell ref="B19:AA19"/>
    <mergeCell ref="B20:A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A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10" defaultColWidth="15.21875" defaultRowHeight="19.8"/>
  <cols>
    <col width="15.21875" customWidth="1" style="66" min="1" max="1"/>
    <col width="28.21875" customWidth="1" style="66" min="2" max="2"/>
    <col width="15.21875" customWidth="1" style="66" min="3" max="3"/>
    <col width="15.21875" customWidth="1" style="66" min="4" max="16384"/>
  </cols>
  <sheetData>
    <row r="2" ht="22.05" customHeight="1">
      <c r="B2" s="13" t="inlineStr">
        <is>
          <t>P&amp;L consolidé — 24 mois</t>
        </is>
      </c>
    </row>
    <row r="4">
      <c r="B4" s="4" t="inlineStr">
        <is>
          <t>Poste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M13</t>
        </is>
      </c>
      <c r="P4" s="4" t="inlineStr">
        <is>
          <t>M14</t>
        </is>
      </c>
      <c r="Q4" s="4" t="inlineStr">
        <is>
          <t>M15</t>
        </is>
      </c>
      <c r="R4" s="4" t="inlineStr">
        <is>
          <t>M16</t>
        </is>
      </c>
      <c r="S4" s="4" t="inlineStr">
        <is>
          <t>M17</t>
        </is>
      </c>
      <c r="T4" s="4" t="inlineStr">
        <is>
          <t>M18</t>
        </is>
      </c>
      <c r="U4" s="4" t="inlineStr">
        <is>
          <t>M19</t>
        </is>
      </c>
      <c r="V4" s="4" t="inlineStr">
        <is>
          <t>M20</t>
        </is>
      </c>
      <c r="W4" s="4" t="inlineStr">
        <is>
          <t>M21</t>
        </is>
      </c>
      <c r="X4" s="4" t="inlineStr">
        <is>
          <t>M22</t>
        </is>
      </c>
      <c r="Y4" s="4" t="inlineStr">
        <is>
          <t>M23</t>
        </is>
      </c>
      <c r="Z4" s="4" t="inlineStr">
        <is>
          <t>M24</t>
        </is>
      </c>
      <c r="AA4" s="4" t="inlineStr">
        <is>
          <t>Total</t>
        </is>
      </c>
    </row>
    <row r="5">
      <c r="B5" s="46" t="inlineStr">
        <is>
          <t>Recettes plateforme</t>
        </is>
      </c>
      <c r="C5" s="47">
        <f>'Recettes 24 mois'!C7</f>
        <v/>
      </c>
      <c r="D5" s="47">
        <f>'Recettes 24 mois'!D7</f>
        <v/>
      </c>
      <c r="E5" s="47">
        <f>'Recettes 24 mois'!E7</f>
        <v/>
      </c>
      <c r="F5" s="47">
        <f>'Recettes 24 mois'!F7</f>
        <v/>
      </c>
      <c r="G5" s="47">
        <f>'Recettes 24 mois'!G7</f>
        <v/>
      </c>
      <c r="H5" s="47">
        <f>'Recettes 24 mois'!H7</f>
        <v/>
      </c>
      <c r="I5" s="47">
        <f>'Recettes 24 mois'!I7</f>
        <v/>
      </c>
      <c r="J5" s="47">
        <f>'Recettes 24 mois'!J7</f>
        <v/>
      </c>
      <c r="K5" s="47">
        <f>'Recettes 24 mois'!K7</f>
        <v/>
      </c>
      <c r="L5" s="47">
        <f>'Recettes 24 mois'!L7</f>
        <v/>
      </c>
      <c r="M5" s="47">
        <f>'Recettes 24 mois'!M7</f>
        <v/>
      </c>
      <c r="N5" s="47">
        <f>'Recettes 24 mois'!N7</f>
        <v/>
      </c>
      <c r="O5" s="47">
        <f>'Recettes 24 mois'!O7</f>
        <v/>
      </c>
      <c r="P5" s="47">
        <f>'Recettes 24 mois'!P7</f>
        <v/>
      </c>
      <c r="Q5" s="47">
        <f>'Recettes 24 mois'!Q7</f>
        <v/>
      </c>
      <c r="R5" s="47">
        <f>'Recettes 24 mois'!R7</f>
        <v/>
      </c>
      <c r="S5" s="47">
        <f>'Recettes 24 mois'!S7</f>
        <v/>
      </c>
      <c r="T5" s="47">
        <f>'Recettes 24 mois'!T7</f>
        <v/>
      </c>
      <c r="U5" s="47">
        <f>'Recettes 24 mois'!U7</f>
        <v/>
      </c>
      <c r="V5" s="47">
        <f>'Recettes 24 mois'!V7</f>
        <v/>
      </c>
      <c r="W5" s="47">
        <f>'Recettes 24 mois'!W7</f>
        <v/>
      </c>
      <c r="X5" s="47">
        <f>'Recettes 24 mois'!X7</f>
        <v/>
      </c>
      <c r="Y5" s="47">
        <f>'Recettes 24 mois'!Y7</f>
        <v/>
      </c>
      <c r="Z5" s="47">
        <f>'Recettes 24 mois'!Z7</f>
        <v/>
      </c>
      <c r="AA5" s="42">
        <f>SUM(C5:Z5)</f>
        <v/>
      </c>
    </row>
    <row r="6">
      <c r="B6" s="48" t="inlineStr">
        <is>
          <t>CAPEX (M1 uniquement)</t>
        </is>
      </c>
      <c r="C6" s="49">
        <f>'CAPEX M0-M2'!C24</f>
        <v/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8" t="n">
        <v>0</v>
      </c>
      <c r="P6" s="38" t="n">
        <v>0</v>
      </c>
      <c r="Q6" s="38" t="n">
        <v>0</v>
      </c>
      <c r="R6" s="38" t="n">
        <v>0</v>
      </c>
      <c r="S6" s="38" t="n">
        <v>0</v>
      </c>
      <c r="T6" s="38" t="n">
        <v>0</v>
      </c>
      <c r="U6" s="38" t="n">
        <v>0</v>
      </c>
      <c r="V6" s="38" t="n">
        <v>0</v>
      </c>
      <c r="W6" s="38" t="n">
        <v>0</v>
      </c>
      <c r="X6" s="38" t="n">
        <v>0</v>
      </c>
      <c r="Y6" s="38" t="n">
        <v>0</v>
      </c>
      <c r="Z6" s="38" t="n">
        <v>0</v>
      </c>
      <c r="AA6" s="50">
        <f>C6</f>
        <v/>
      </c>
    </row>
    <row r="7">
      <c r="B7" s="48" t="inlineStr">
        <is>
          <t>OPEX récurrent</t>
        </is>
      </c>
      <c r="C7" s="49">
        <f>'OPEX An 1'!C44</f>
        <v/>
      </c>
      <c r="D7" s="49">
        <f>'OPEX An 1'!D44</f>
        <v/>
      </c>
      <c r="E7" s="49">
        <f>'OPEX An 1'!E44</f>
        <v/>
      </c>
      <c r="F7" s="49">
        <f>'OPEX An 1'!F44</f>
        <v/>
      </c>
      <c r="G7" s="49">
        <f>'OPEX An 1'!G44</f>
        <v/>
      </c>
      <c r="H7" s="49">
        <f>'OPEX An 1'!H44</f>
        <v/>
      </c>
      <c r="I7" s="49">
        <f>'OPEX An 1'!I44</f>
        <v/>
      </c>
      <c r="J7" s="49">
        <f>'OPEX An 1'!J44</f>
        <v/>
      </c>
      <c r="K7" s="49">
        <f>'OPEX An 1'!K44</f>
        <v/>
      </c>
      <c r="L7" s="49">
        <f>'OPEX An 1'!L44</f>
        <v/>
      </c>
      <c r="M7" s="49">
        <f>'OPEX An 1'!M44</f>
        <v/>
      </c>
      <c r="N7" s="49">
        <f>'OPEX An 1'!N44</f>
        <v/>
      </c>
      <c r="O7" s="49">
        <f>'OPEX An 2'!C54</f>
        <v/>
      </c>
      <c r="P7" s="49">
        <f>'OPEX An 2'!D54</f>
        <v/>
      </c>
      <c r="Q7" s="49">
        <f>'OPEX An 2'!E54</f>
        <v/>
      </c>
      <c r="R7" s="49">
        <f>'OPEX An 2'!F54</f>
        <v/>
      </c>
      <c r="S7" s="49">
        <f>'OPEX An 2'!G54</f>
        <v/>
      </c>
      <c r="T7" s="49">
        <f>'OPEX An 2'!H54</f>
        <v/>
      </c>
      <c r="U7" s="49">
        <f>'OPEX An 2'!I54</f>
        <v/>
      </c>
      <c r="V7" s="49">
        <f>'OPEX An 2'!J54</f>
        <v/>
      </c>
      <c r="W7" s="49">
        <f>'OPEX An 2'!K54</f>
        <v/>
      </c>
      <c r="X7" s="49">
        <f>'OPEX An 2'!L54</f>
        <v/>
      </c>
      <c r="Y7" s="49">
        <f>'OPEX An 2'!M54</f>
        <v/>
      </c>
      <c r="Z7" s="49">
        <f>'OPEX An 2'!N54</f>
        <v/>
      </c>
      <c r="AA7" s="50">
        <f>SUM(C7:Z7)</f>
        <v/>
      </c>
    </row>
    <row r="8">
      <c r="B8" s="51" t="inlineStr">
        <is>
          <t>Total charges mensuelles</t>
        </is>
      </c>
      <c r="C8" s="52">
        <f>C6+C7</f>
        <v/>
      </c>
      <c r="D8" s="52">
        <f>D6+D7</f>
        <v/>
      </c>
      <c r="E8" s="52">
        <f>E6+E7</f>
        <v/>
      </c>
      <c r="F8" s="52">
        <f>F6+F7</f>
        <v/>
      </c>
      <c r="G8" s="52">
        <f>G6+G7</f>
        <v/>
      </c>
      <c r="H8" s="52">
        <f>H6+H7</f>
        <v/>
      </c>
      <c r="I8" s="52">
        <f>I6+I7</f>
        <v/>
      </c>
      <c r="J8" s="52">
        <f>J6+J7</f>
        <v/>
      </c>
      <c r="K8" s="52">
        <f>K6+K7</f>
        <v/>
      </c>
      <c r="L8" s="52">
        <f>L6+L7</f>
        <v/>
      </c>
      <c r="M8" s="52">
        <f>M6+M7</f>
        <v/>
      </c>
      <c r="N8" s="52">
        <f>N6+N7</f>
        <v/>
      </c>
      <c r="O8" s="52">
        <f>O6+O7</f>
        <v/>
      </c>
      <c r="P8" s="52">
        <f>P6+P7</f>
        <v/>
      </c>
      <c r="Q8" s="52">
        <f>Q6+Q7</f>
        <v/>
      </c>
      <c r="R8" s="52">
        <f>R6+R7</f>
        <v/>
      </c>
      <c r="S8" s="52">
        <f>S6+S7</f>
        <v/>
      </c>
      <c r="T8" s="52">
        <f>T6+T7</f>
        <v/>
      </c>
      <c r="U8" s="52">
        <f>U6+U7</f>
        <v/>
      </c>
      <c r="V8" s="52">
        <f>V6+V7</f>
        <v/>
      </c>
      <c r="W8" s="52">
        <f>W6+W7</f>
        <v/>
      </c>
      <c r="X8" s="52">
        <f>X6+X7</f>
        <v/>
      </c>
      <c r="Y8" s="52">
        <f>Y6+Y7</f>
        <v/>
      </c>
      <c r="Z8" s="52">
        <f>Z6+Z7</f>
        <v/>
      </c>
      <c r="AA8" s="52">
        <f>SUM(C8:Z8)</f>
        <v/>
      </c>
    </row>
    <row r="9">
      <c r="B9" s="53" t="inlineStr">
        <is>
          <t>Résultat mensuel</t>
        </is>
      </c>
      <c r="C9" s="54">
        <f>C5-C8</f>
        <v/>
      </c>
      <c r="D9" s="54">
        <f>D5-D8</f>
        <v/>
      </c>
      <c r="E9" s="54">
        <f>E5-E8</f>
        <v/>
      </c>
      <c r="F9" s="54">
        <f>F5-F8</f>
        <v/>
      </c>
      <c r="G9" s="54">
        <f>G5-G8</f>
        <v/>
      </c>
      <c r="H9" s="54">
        <f>H5-H8</f>
        <v/>
      </c>
      <c r="I9" s="54">
        <f>I5-I8</f>
        <v/>
      </c>
      <c r="J9" s="54">
        <f>J5-J8</f>
        <v/>
      </c>
      <c r="K9" s="54">
        <f>K5-K8</f>
        <v/>
      </c>
      <c r="L9" s="54">
        <f>L5-L8</f>
        <v/>
      </c>
      <c r="M9" s="54">
        <f>M5-M8</f>
        <v/>
      </c>
      <c r="N9" s="54">
        <f>N5-N8</f>
        <v/>
      </c>
      <c r="O9" s="54">
        <f>O5-O8</f>
        <v/>
      </c>
      <c r="P9" s="54">
        <f>P5-P8</f>
        <v/>
      </c>
      <c r="Q9" s="54">
        <f>Q5-Q8</f>
        <v/>
      </c>
      <c r="R9" s="54">
        <f>R5-R8</f>
        <v/>
      </c>
      <c r="S9" s="54">
        <f>S5-S8</f>
        <v/>
      </c>
      <c r="T9" s="54">
        <f>T5-T8</f>
        <v/>
      </c>
      <c r="U9" s="54">
        <f>U5-U8</f>
        <v/>
      </c>
      <c r="V9" s="54">
        <f>V5-V8</f>
        <v/>
      </c>
      <c r="W9" s="54">
        <f>W5-W8</f>
        <v/>
      </c>
      <c r="X9" s="54">
        <f>X5-X8</f>
        <v/>
      </c>
      <c r="Y9" s="54">
        <f>Y5-Y8</f>
        <v/>
      </c>
      <c r="Z9" s="54">
        <f>Z5-Z8</f>
        <v/>
      </c>
      <c r="AA9" s="54">
        <f>SUM(C9:Z9)</f>
        <v/>
      </c>
    </row>
    <row r="11">
      <c r="B11" s="55" t="inlineStr">
        <is>
          <t>Trésorerie début de mois</t>
        </is>
      </c>
      <c r="C11" s="56" t="n">
        <v>11000000</v>
      </c>
      <c r="D11" s="56">
        <f>C12</f>
        <v/>
      </c>
      <c r="E11" s="56">
        <f>D12</f>
        <v/>
      </c>
      <c r="F11" s="56">
        <f>E12</f>
        <v/>
      </c>
      <c r="G11" s="56">
        <f>F12</f>
        <v/>
      </c>
      <c r="H11" s="56">
        <f>G12</f>
        <v/>
      </c>
      <c r="I11" s="56">
        <f>H12</f>
        <v/>
      </c>
      <c r="J11" s="56">
        <f>I12</f>
        <v/>
      </c>
      <c r="K11" s="56">
        <f>J12</f>
        <v/>
      </c>
      <c r="L11" s="56">
        <f>K12</f>
        <v/>
      </c>
      <c r="M11" s="56">
        <f>L12</f>
        <v/>
      </c>
      <c r="N11" s="56">
        <f>M12</f>
        <v/>
      </c>
      <c r="O11" s="56">
        <f>N12</f>
        <v/>
      </c>
      <c r="P11" s="56">
        <f>O12</f>
        <v/>
      </c>
      <c r="Q11" s="56">
        <f>P12</f>
        <v/>
      </c>
      <c r="R11" s="56">
        <f>Q12</f>
        <v/>
      </c>
      <c r="S11" s="56">
        <f>R12</f>
        <v/>
      </c>
      <c r="T11" s="56">
        <f>S12</f>
        <v/>
      </c>
      <c r="U11" s="56">
        <f>T12</f>
        <v/>
      </c>
      <c r="V11" s="56">
        <f>U12</f>
        <v/>
      </c>
      <c r="W11" s="56">
        <f>V12</f>
        <v/>
      </c>
      <c r="X11" s="56">
        <f>W12</f>
        <v/>
      </c>
      <c r="Y11" s="56">
        <f>X12</f>
        <v/>
      </c>
      <c r="Z11" s="56">
        <f>Y12</f>
        <v/>
      </c>
    </row>
    <row r="12">
      <c r="B12" s="57" t="inlineStr">
        <is>
          <t>Trésorerie fin de mois</t>
        </is>
      </c>
      <c r="C12" s="58">
        <f>C11+C9</f>
        <v/>
      </c>
      <c r="D12" s="58">
        <f>D11+D9</f>
        <v/>
      </c>
      <c r="E12" s="58">
        <f>E11+E9</f>
        <v/>
      </c>
      <c r="F12" s="58">
        <f>F11+F9</f>
        <v/>
      </c>
      <c r="G12" s="58">
        <f>G11+G9</f>
        <v/>
      </c>
      <c r="H12" s="58">
        <f>H11+H9</f>
        <v/>
      </c>
      <c r="I12" s="58">
        <f>I11+I9</f>
        <v/>
      </c>
      <c r="J12" s="58">
        <f>J11+J9</f>
        <v/>
      </c>
      <c r="K12" s="58">
        <f>K11+K9</f>
        <v/>
      </c>
      <c r="L12" s="58">
        <f>L11+L9</f>
        <v/>
      </c>
      <c r="M12" s="58">
        <f>M11+M9</f>
        <v/>
      </c>
      <c r="N12" s="58">
        <f>N11+N9</f>
        <v/>
      </c>
      <c r="O12" s="58">
        <f>O11+O9</f>
        <v/>
      </c>
      <c r="P12" s="58">
        <f>P11+P9</f>
        <v/>
      </c>
      <c r="Q12" s="58">
        <f>Q11+Q9</f>
        <v/>
      </c>
      <c r="R12" s="58">
        <f>R11+R9</f>
        <v/>
      </c>
      <c r="S12" s="58">
        <f>S11+S9</f>
        <v/>
      </c>
      <c r="T12" s="58">
        <f>T11+T9</f>
        <v/>
      </c>
      <c r="U12" s="58">
        <f>U11+U9</f>
        <v/>
      </c>
      <c r="V12" s="58">
        <f>V11+V9</f>
        <v/>
      </c>
      <c r="W12" s="58">
        <f>W11+W9</f>
        <v/>
      </c>
      <c r="X12" s="58">
        <f>X11+X9</f>
        <v/>
      </c>
      <c r="Y12" s="58">
        <f>Y11+Y9</f>
        <v/>
      </c>
      <c r="Z12" s="58">
        <f>Z11+Z9</f>
        <v/>
      </c>
    </row>
    <row r="15">
      <c r="B15" s="45" t="inlineStr">
        <is>
          <t>Lecture du P&amp;L</t>
        </is>
      </c>
    </row>
    <row r="16">
      <c r="B16" s="65" t="inlineStr">
        <is>
          <t>Ligne 5 : recettes plateforme (proviennent de l'onglet Recettes 24 mois).</t>
        </is>
      </c>
    </row>
    <row r="17">
      <c r="B17" s="65" t="inlineStr">
        <is>
          <t>Ligne 6 : CAPEX one-shot imputé sur M1.</t>
        </is>
      </c>
    </row>
    <row r="18">
      <c r="B18" s="65" t="inlineStr">
        <is>
          <t>Ligne 7 : OPEX récurrent (proviennent des onglets OPEX An 1 et An 2).</t>
        </is>
      </c>
    </row>
    <row r="19">
      <c r="B19" s="65" t="inlineStr">
        <is>
          <t>Ligne 9 : résultat mensuel = recettes − (CAPEX + OPEX). Négatif jusqu'au point mort, positif ensuite.</t>
        </is>
      </c>
    </row>
    <row r="20">
      <c r="B20" s="65" t="inlineStr">
        <is>
          <t>Ligne 11-12 : trésorerie cumulée. On démarre à 11 M FCFA (levée 10 M + ADR ~1 M des premiers concess).</t>
        </is>
      </c>
    </row>
    <row r="21">
      <c r="B21" s="65" t="inlineStr">
        <is>
          <t>Point mort mensuel : quand ligne 9 devient positive (typiquement autour du M9-M10 selon montée en charge).</t>
        </is>
      </c>
    </row>
    <row r="22">
      <c r="B22" s="65" t="inlineStr">
        <is>
          <t>Point mort cumulé : quand ligne 12 devient positive et se maintient (typiquement M14-M16).</t>
        </is>
      </c>
    </row>
  </sheetData>
  <mergeCells count="7">
    <mergeCell ref="B22:AA22"/>
    <mergeCell ref="B17:AA17"/>
    <mergeCell ref="B18:AA18"/>
    <mergeCell ref="B21:AA21"/>
    <mergeCell ref="B16:AA16"/>
    <mergeCell ref="B19:AA19"/>
    <mergeCell ref="B20:AA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78"/>
  <sheetViews>
    <sheetView tabSelected="1" workbookViewId="0">
      <selection activeCell="A1" sqref="A1:XFD1048576"/>
    </sheetView>
  </sheetViews>
  <sheetFormatPr baseColWidth="10" defaultColWidth="8.88671875" defaultRowHeight="19.8"/>
  <cols>
    <col width="4" customWidth="1" style="66" min="1" max="1"/>
    <col width="40" customWidth="1" style="66" min="2" max="2"/>
    <col width="16" customWidth="1" style="66" min="3" max="4"/>
    <col width="18" customWidth="1" style="66" min="5" max="5"/>
    <col width="8.88671875" customWidth="1" style="66" min="6" max="16384"/>
  </cols>
  <sheetData>
    <row r="2" ht="22.05" customHeight="1">
      <c r="B2" s="13" t="inlineStr">
        <is>
          <t>Cash flow ADR — Avances de démarrage concessionnaires</t>
        </is>
      </c>
    </row>
    <row r="3">
      <c r="B3" s="2" t="inlineStr">
        <is>
          <t>Mouvement de trésorerie bilanciel — neutre au résultat P&amp;L</t>
        </is>
      </c>
    </row>
    <row r="5">
      <c r="B5" s="67" t="inlineStr">
        <is>
          <t>Nature comptable</t>
        </is>
      </c>
    </row>
    <row r="6">
      <c r="B6" s="68" t="inlineStr">
        <is>
          <t>L'ADR (Avance de Démarrage Remboursable) versée par un concessionnaire à la signature</t>
        </is>
      </c>
    </row>
    <row r="7">
      <c r="B7" s="68" t="inlineStr">
        <is>
          <t>n'est ni un revenu ni un apport en capital. C'est une DETTE de la société envers ce</t>
        </is>
      </c>
    </row>
    <row r="8">
      <c r="B8" s="68" t="inlineStr">
        <is>
          <t>concessionnaire, comptabilisée au PASSIF CIRCULANT : « Dettes envers partenaires »</t>
        </is>
      </c>
    </row>
    <row r="9">
      <c r="B9" s="68" t="inlineStr">
        <is>
          <t>(Art. 1892 Code civil OHADA + convention libre entre parties).</t>
        </is>
      </c>
    </row>
    <row r="10">
      <c r="B10" s="68" t="n"/>
    </row>
    <row r="11">
      <c r="B11" s="68" t="inlineStr">
        <is>
          <t>L'encaissement à la signature et le remboursement à M+12 après mise en service du 1er</t>
        </is>
      </c>
    </row>
    <row r="12">
      <c r="B12" s="68" t="inlineStr">
        <is>
          <t>véhicule sont donc des MOUVEMENTS DE TRÉSORERIE — ils impactent le cash, pas le résultat.</t>
        </is>
      </c>
    </row>
    <row r="14">
      <c r="B14" s="69" t="inlineStr">
        <is>
          <t>Section 1 — Encaissements (rentrées de trésorerie)</t>
        </is>
      </c>
    </row>
    <row r="15">
      <c r="B15" s="70" t="inlineStr">
        <is>
          <t>Mois</t>
        </is>
      </c>
      <c r="C15" s="70" t="inlineStr">
        <is>
          <t>Nb concess signés</t>
        </is>
      </c>
      <c r="D15" s="70" t="inlineStr">
        <is>
          <t>ADR par concess</t>
        </is>
      </c>
      <c r="E15" s="70" t="inlineStr">
        <is>
          <t>Total encaissé</t>
        </is>
      </c>
    </row>
    <row r="16">
      <c r="B16" s="71" t="inlineStr">
        <is>
          <t>M1</t>
        </is>
      </c>
      <c r="C16" s="72" t="n">
        <v>3</v>
      </c>
      <c r="D16" s="72" t="n">
        <v>100000</v>
      </c>
      <c r="E16" s="73">
        <f>C16*D16</f>
        <v/>
      </c>
    </row>
    <row r="17">
      <c r="B17" s="71" t="inlineStr">
        <is>
          <t>M2</t>
        </is>
      </c>
      <c r="C17" s="72" t="n">
        <v>2</v>
      </c>
      <c r="D17" s="72" t="n">
        <v>100000</v>
      </c>
      <c r="E17" s="73">
        <f>C17*D17</f>
        <v/>
      </c>
    </row>
    <row r="18">
      <c r="B18" s="71" t="inlineStr">
        <is>
          <t>M3</t>
        </is>
      </c>
      <c r="C18" s="72" t="n">
        <v>2</v>
      </c>
      <c r="D18" s="72" t="n">
        <v>100000</v>
      </c>
      <c r="E18" s="73">
        <f>C18*D18</f>
        <v/>
      </c>
    </row>
    <row r="19">
      <c r="B19" s="71" t="inlineStr">
        <is>
          <t>M4</t>
        </is>
      </c>
      <c r="C19" s="72" t="n">
        <v>1</v>
      </c>
      <c r="D19" s="72" t="n">
        <v>100000</v>
      </c>
      <c r="E19" s="73">
        <f>C19*D19</f>
        <v/>
      </c>
    </row>
    <row r="20">
      <c r="B20" s="71" t="inlineStr">
        <is>
          <t>M5</t>
        </is>
      </c>
      <c r="C20" s="72" t="n">
        <v>1</v>
      </c>
      <c r="D20" s="72" t="n">
        <v>100000</v>
      </c>
      <c r="E20" s="73">
        <f>C20*D20</f>
        <v/>
      </c>
    </row>
    <row r="21">
      <c r="B21" s="71" t="inlineStr">
        <is>
          <t>M6</t>
        </is>
      </c>
      <c r="C21" s="72" t="n">
        <v>1</v>
      </c>
      <c r="D21" s="72" t="n">
        <v>100000</v>
      </c>
      <c r="E21" s="73">
        <f>C21*D21</f>
        <v/>
      </c>
    </row>
    <row r="22">
      <c r="B22" s="74" t="inlineStr">
        <is>
          <t>TOTAL encaissements</t>
        </is>
      </c>
      <c r="C22" s="75">
        <f>SUM(C16:C21)</f>
        <v/>
      </c>
      <c r="D22" s="76" t="n"/>
      <c r="E22" s="75">
        <f>SUM(E16:E21)</f>
        <v/>
      </c>
    </row>
    <row r="24">
      <c r="B24" s="77" t="inlineStr">
        <is>
          <t>Section 2 — Décaissements (sorties de trésorerie, remboursements)</t>
        </is>
      </c>
    </row>
    <row r="25">
      <c r="B25" s="65" t="inlineStr">
        <is>
          <t>Remboursement à M+12 après mise en service du 1er véhicule (mémoire section 3-bis)</t>
        </is>
      </c>
    </row>
    <row r="26">
      <c r="B26" s="70" t="inlineStr">
        <is>
          <t>Mois</t>
        </is>
      </c>
      <c r="C26" s="70" t="inlineStr">
        <is>
          <t>Nb concess remboursés</t>
        </is>
      </c>
      <c r="D26" s="70" t="inlineStr">
        <is>
          <t>ADR par concess</t>
        </is>
      </c>
      <c r="E26" s="70" t="inlineStr">
        <is>
          <t>Total décaissé</t>
        </is>
      </c>
    </row>
    <row r="27">
      <c r="B27" s="71" t="inlineStr">
        <is>
          <t>M15</t>
        </is>
      </c>
      <c r="C27" s="72" t="n">
        <v>3</v>
      </c>
      <c r="D27" s="72" t="n">
        <v>100000</v>
      </c>
      <c r="E27" s="78">
        <f>-C27*D27</f>
        <v/>
      </c>
    </row>
    <row r="28">
      <c r="B28" s="71" t="inlineStr">
        <is>
          <t>M16</t>
        </is>
      </c>
      <c r="C28" s="72" t="n">
        <v>2</v>
      </c>
      <c r="D28" s="72" t="n">
        <v>100000</v>
      </c>
      <c r="E28" s="78">
        <f>-C28*D28</f>
        <v/>
      </c>
    </row>
    <row r="29">
      <c r="B29" s="71" t="inlineStr">
        <is>
          <t>M17</t>
        </is>
      </c>
      <c r="C29" s="72" t="n">
        <v>2</v>
      </c>
      <c r="D29" s="72" t="n">
        <v>100000</v>
      </c>
      <c r="E29" s="78">
        <f>-C29*D29</f>
        <v/>
      </c>
    </row>
    <row r="30">
      <c r="B30" s="71" t="inlineStr">
        <is>
          <t>M18</t>
        </is>
      </c>
      <c r="C30" s="72" t="n">
        <v>1</v>
      </c>
      <c r="D30" s="72" t="n">
        <v>100000</v>
      </c>
      <c r="E30" s="78">
        <f>-C30*D30</f>
        <v/>
      </c>
    </row>
    <row r="31">
      <c r="B31" s="71" t="inlineStr">
        <is>
          <t>M19</t>
        </is>
      </c>
      <c r="C31" s="72" t="n">
        <v>1</v>
      </c>
      <c r="D31" s="72" t="n">
        <v>100000</v>
      </c>
      <c r="E31" s="78">
        <f>-C31*D31</f>
        <v/>
      </c>
    </row>
    <row r="32">
      <c r="B32" s="71" t="inlineStr">
        <is>
          <t>M20</t>
        </is>
      </c>
      <c r="C32" s="72" t="n">
        <v>1</v>
      </c>
      <c r="D32" s="72" t="n">
        <v>100000</v>
      </c>
      <c r="E32" s="78">
        <f>-C32*D32</f>
        <v/>
      </c>
    </row>
    <row r="33">
      <c r="B33" s="79" t="inlineStr">
        <is>
          <t>TOTAL décaissements</t>
        </is>
      </c>
      <c r="C33" s="80">
        <f>SUM(C27:C32)</f>
        <v/>
      </c>
      <c r="D33" s="81" t="n"/>
      <c r="E33" s="80">
        <f>SUM(E27:E32)</f>
        <v/>
      </c>
    </row>
    <row r="35">
      <c r="B35" s="82" t="inlineStr">
        <is>
          <t>Section 3 — Solde ADR sur 24 mois</t>
        </is>
      </c>
    </row>
    <row r="36">
      <c r="B36" s="83" t="inlineStr">
        <is>
          <t>Encaissements cumulés</t>
        </is>
      </c>
      <c r="E36" s="84">
        <f>E22</f>
        <v/>
      </c>
    </row>
    <row r="37">
      <c r="B37" s="83" t="inlineStr">
        <is>
          <t>Décaissements cumulés</t>
        </is>
      </c>
      <c r="E37" s="50">
        <f>E33</f>
        <v/>
      </c>
    </row>
    <row r="38">
      <c r="B38" s="45" t="inlineStr">
        <is>
          <t>SOLDE (doit tendre vers 0)</t>
        </is>
      </c>
      <c r="E38" s="85">
        <f>E22+E33</f>
        <v/>
      </c>
    </row>
    <row r="40">
      <c r="B40" s="67" t="inlineStr">
        <is>
          <t>Section 4 — Financement (part plateforme du fonds rachat)</t>
        </is>
      </c>
    </row>
    <row r="41">
      <c r="B41" s="68" t="inlineStr">
        <is>
          <t>Le remboursement des 1 M FCFA d'ADR est financé par la part plateforme du fonds rachat</t>
        </is>
      </c>
    </row>
    <row r="42">
      <c r="B42" s="68" t="inlineStr">
        <is>
          <t>(30 % An 1 → 20 % An 2). Calcul avec la projection actuelle (25 véh An 1, 30 véh An 2) :</t>
        </is>
      </c>
    </row>
    <row r="43">
      <c r="B43" s="66" t="n"/>
    </row>
    <row r="44">
      <c r="B44" s="68" t="inlineStr">
        <is>
          <t>An 1 : 25 véh (fin An 1) × 300 k FCFA volume/véh × 10 % rachat × 30 % plateforme = 22,5 k/véh/an</t>
        </is>
      </c>
    </row>
    <row r="45">
      <c r="B45" s="68" t="inlineStr">
        <is>
          <t xml:space="preserve">  → cumul An 1 ≈ 1,15 M FCFA (avec montée en charge progressive)</t>
        </is>
      </c>
    </row>
    <row r="46">
      <c r="B46" s="68" t="inlineStr">
        <is>
          <t>An 2 : 30 véh × 650 k FCFA volume/véh × 10 % rachat × 20 % plateforme = 15,6 k/véh/an</t>
        </is>
      </c>
    </row>
    <row r="47">
      <c r="B47" s="68" t="inlineStr">
        <is>
          <t xml:space="preserve">  → cumul An 2 ≈ 4,17 M FCFA</t>
        </is>
      </c>
    </row>
    <row r="48">
      <c r="B48" s="66" t="n"/>
    </row>
    <row r="49">
      <c r="B49" s="68" t="inlineStr">
        <is>
          <t>TOTAL part plateforme fonds rachat sur 24 mois ≈ 5,3 M FCFA</t>
        </is>
      </c>
    </row>
    <row r="50">
      <c r="B50" s="68" t="inlineStr">
        <is>
          <t>Remboursement ADR à couvrir = 1,0 M FCFA → largement financé (marge × 5).</t>
        </is>
      </c>
    </row>
    <row r="51">
      <c r="B51" s="68" t="inlineStr">
        <is>
          <t>L'excédent (~4,3 M) reste à la plateforme comme rémunération du service séquestre.</t>
        </is>
      </c>
    </row>
    <row r="53">
      <c r="B53" s="67" t="inlineStr">
        <is>
          <t>Section 5 — Impact sur trésorerie mois par mois</t>
        </is>
      </c>
    </row>
    <row r="54">
      <c r="B54" s="70" t="inlineStr">
        <is>
          <t>Mois</t>
        </is>
      </c>
      <c r="C54" s="70" t="inlineStr">
        <is>
          <t>Encaissement</t>
        </is>
      </c>
      <c r="D54" s="70" t="inlineStr">
        <is>
          <t>Décaissement</t>
        </is>
      </c>
      <c r="E54" s="70" t="inlineStr">
        <is>
          <t>Impact net</t>
        </is>
      </c>
    </row>
    <row r="55">
      <c r="B55" s="71" t="inlineStr">
        <is>
          <t>M1</t>
        </is>
      </c>
      <c r="C55" s="73" t="n">
        <v>300000</v>
      </c>
      <c r="D55" s="72" t="n"/>
      <c r="E55" s="86" t="n">
        <v>300000</v>
      </c>
    </row>
    <row r="56">
      <c r="B56" s="71" t="inlineStr">
        <is>
          <t>M2</t>
        </is>
      </c>
      <c r="C56" s="73" t="n">
        <v>200000</v>
      </c>
      <c r="D56" s="72" t="n"/>
      <c r="E56" s="86" t="n">
        <v>200000</v>
      </c>
    </row>
    <row r="57">
      <c r="B57" s="71" t="inlineStr">
        <is>
          <t>M3</t>
        </is>
      </c>
      <c r="C57" s="73" t="n">
        <v>200000</v>
      </c>
      <c r="D57" s="72" t="n"/>
      <c r="E57" s="86" t="n">
        <v>200000</v>
      </c>
    </row>
    <row r="58">
      <c r="B58" s="71" t="inlineStr">
        <is>
          <t>M4</t>
        </is>
      </c>
      <c r="C58" s="73" t="n">
        <v>100000</v>
      </c>
      <c r="D58" s="72" t="n"/>
      <c r="E58" s="86" t="n">
        <v>100000</v>
      </c>
    </row>
    <row r="59">
      <c r="B59" s="71" t="inlineStr">
        <is>
          <t>M5</t>
        </is>
      </c>
      <c r="C59" s="73" t="n">
        <v>100000</v>
      </c>
      <c r="D59" s="72" t="n"/>
      <c r="E59" s="86" t="n">
        <v>100000</v>
      </c>
    </row>
    <row r="60">
      <c r="B60" s="71" t="inlineStr">
        <is>
          <t>M6</t>
        </is>
      </c>
      <c r="C60" s="73" t="n">
        <v>100000</v>
      </c>
      <c r="D60" s="72" t="n"/>
      <c r="E60" s="86" t="n">
        <v>100000</v>
      </c>
    </row>
    <row r="61">
      <c r="B61" s="71" t="inlineStr">
        <is>
          <t>M7</t>
        </is>
      </c>
      <c r="C61" s="72" t="n"/>
      <c r="D61" s="72" t="n"/>
      <c r="E61" s="72" t="n">
        <v>0</v>
      </c>
    </row>
    <row r="62">
      <c r="B62" s="71" t="inlineStr">
        <is>
          <t>M8</t>
        </is>
      </c>
      <c r="C62" s="72" t="n"/>
      <c r="D62" s="72" t="n"/>
      <c r="E62" s="72" t="n">
        <v>0</v>
      </c>
    </row>
    <row r="63">
      <c r="B63" s="71" t="inlineStr">
        <is>
          <t>M9</t>
        </is>
      </c>
      <c r="C63" s="72" t="n"/>
      <c r="D63" s="72" t="n"/>
      <c r="E63" s="72" t="n">
        <v>0</v>
      </c>
    </row>
    <row r="64">
      <c r="B64" s="71" t="inlineStr">
        <is>
          <t>M10</t>
        </is>
      </c>
      <c r="C64" s="72" t="n"/>
      <c r="D64" s="72" t="n"/>
      <c r="E64" s="72" t="n">
        <v>0</v>
      </c>
    </row>
    <row r="65">
      <c r="B65" s="71" t="inlineStr">
        <is>
          <t>M11</t>
        </is>
      </c>
      <c r="C65" s="72" t="n"/>
      <c r="D65" s="72" t="n"/>
      <c r="E65" s="72" t="n">
        <v>0</v>
      </c>
    </row>
    <row r="66">
      <c r="B66" s="71" t="inlineStr">
        <is>
          <t>M12</t>
        </is>
      </c>
      <c r="C66" s="72" t="n"/>
      <c r="D66" s="72" t="n"/>
      <c r="E66" s="72" t="n">
        <v>0</v>
      </c>
    </row>
    <row r="67">
      <c r="B67" s="71" t="inlineStr">
        <is>
          <t>M13</t>
        </is>
      </c>
      <c r="C67" s="72" t="n"/>
      <c r="D67" s="72" t="n"/>
      <c r="E67" s="72" t="n">
        <v>0</v>
      </c>
    </row>
    <row r="68">
      <c r="B68" s="71" t="inlineStr">
        <is>
          <t>M14</t>
        </is>
      </c>
      <c r="C68" s="72" t="n"/>
      <c r="D68" s="72" t="n"/>
      <c r="E68" s="72" t="n">
        <v>0</v>
      </c>
    </row>
    <row r="69">
      <c r="B69" s="71" t="inlineStr">
        <is>
          <t>M15</t>
        </is>
      </c>
      <c r="C69" s="72" t="n"/>
      <c r="D69" s="78" t="n">
        <v>-300000</v>
      </c>
      <c r="E69" s="87" t="n">
        <v>-300000</v>
      </c>
    </row>
    <row r="70">
      <c r="B70" s="71" t="inlineStr">
        <is>
          <t>M16</t>
        </is>
      </c>
      <c r="C70" s="72" t="n"/>
      <c r="D70" s="78" t="n">
        <v>-200000</v>
      </c>
      <c r="E70" s="87" t="n">
        <v>-200000</v>
      </c>
    </row>
    <row r="71">
      <c r="B71" s="71" t="inlineStr">
        <is>
          <t>M17</t>
        </is>
      </c>
      <c r="C71" s="72" t="n"/>
      <c r="D71" s="78" t="n">
        <v>-200000</v>
      </c>
      <c r="E71" s="87" t="n">
        <v>-200000</v>
      </c>
    </row>
    <row r="72">
      <c r="B72" s="71" t="inlineStr">
        <is>
          <t>M18</t>
        </is>
      </c>
      <c r="C72" s="72" t="n"/>
      <c r="D72" s="78" t="n">
        <v>-100000</v>
      </c>
      <c r="E72" s="87" t="n">
        <v>-100000</v>
      </c>
    </row>
    <row r="73">
      <c r="B73" s="71" t="inlineStr">
        <is>
          <t>M19</t>
        </is>
      </c>
      <c r="C73" s="72" t="n"/>
      <c r="D73" s="78" t="n">
        <v>-100000</v>
      </c>
      <c r="E73" s="87" t="n">
        <v>-100000</v>
      </c>
    </row>
    <row r="74">
      <c r="B74" s="71" t="inlineStr">
        <is>
          <t>M20</t>
        </is>
      </c>
      <c r="C74" s="72" t="n"/>
      <c r="D74" s="78" t="n">
        <v>-100000</v>
      </c>
      <c r="E74" s="87" t="n">
        <v>-100000</v>
      </c>
    </row>
    <row r="75">
      <c r="B75" s="71" t="inlineStr">
        <is>
          <t>M21</t>
        </is>
      </c>
      <c r="C75" s="72" t="n"/>
      <c r="D75" s="72" t="n"/>
      <c r="E75" s="72" t="n">
        <v>0</v>
      </c>
    </row>
    <row r="76">
      <c r="B76" s="71" t="inlineStr">
        <is>
          <t>M22</t>
        </is>
      </c>
      <c r="C76" s="72" t="n"/>
      <c r="D76" s="72" t="n"/>
      <c r="E76" s="72" t="n">
        <v>0</v>
      </c>
    </row>
    <row r="77">
      <c r="B77" s="71" t="inlineStr">
        <is>
          <t>M23</t>
        </is>
      </c>
      <c r="C77" s="72" t="n"/>
      <c r="D77" s="72" t="n"/>
      <c r="E77" s="72" t="n">
        <v>0</v>
      </c>
    </row>
    <row r="78">
      <c r="B78" s="71" t="inlineStr">
        <is>
          <t>M24</t>
        </is>
      </c>
      <c r="C78" s="72" t="n"/>
      <c r="D78" s="72" t="n"/>
      <c r="E78" s="72" t="n">
        <v>0</v>
      </c>
    </row>
  </sheetData>
  <mergeCells count="25">
    <mergeCell ref="B40:E40"/>
    <mergeCell ref="B9:E9"/>
    <mergeCell ref="B49:E49"/>
    <mergeCell ref="B6:E6"/>
    <mergeCell ref="B24:E24"/>
    <mergeCell ref="B51:E51"/>
    <mergeCell ref="B5:E5"/>
    <mergeCell ref="B45:E45"/>
    <mergeCell ref="B41:E41"/>
    <mergeCell ref="B35:E35"/>
    <mergeCell ref="B50:E50"/>
    <mergeCell ref="B7:E7"/>
    <mergeCell ref="B25:E25"/>
    <mergeCell ref="B47:E47"/>
    <mergeCell ref="B46:E46"/>
    <mergeCell ref="B43:E43"/>
    <mergeCell ref="B12:E12"/>
    <mergeCell ref="B48:E48"/>
    <mergeCell ref="B11:E11"/>
    <mergeCell ref="B42:E42"/>
    <mergeCell ref="B14:E14"/>
    <mergeCell ref="B8:E8"/>
    <mergeCell ref="B53:E53"/>
    <mergeCell ref="B44:E44"/>
    <mergeCell ref="B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A29"/>
  <sheetViews>
    <sheetView workbookViewId="0">
      <pane xSplit="2" ySplit="14" topLeftCell="C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</cols>
  <sheetData>
    <row r="2" ht="22" customHeight="1">
      <c r="B2" s="88" t="inlineStr">
        <is>
          <t>Scénario lean — levée 5 M FCFA + tranche 2 conditionnelle</t>
        </is>
      </c>
    </row>
    <row r="3">
      <c r="B3" s="89" t="inlineStr">
        <is>
          <t>Toutes les valeurs en milliers de FCFA (k). Onglet autonome — ne modifie pas les autres onglets.</t>
        </is>
      </c>
    </row>
    <row r="5">
      <c r="B5" s="90" t="inlineStr">
        <is>
          <t>Hypothèses lean</t>
        </is>
      </c>
    </row>
    <row r="6">
      <c r="B6" s="91" t="inlineStr">
        <is>
          <t>Levée tranche 1 : 5 000 k à la constitution (M1). Tranche 2 conditionnelle : 3 000 k appelée à M4 si jalons atteints (5 véhicules actifs, premières courses facturées). M6 serait trop tard : le creux de trésorerie tombe à M4-M5.</t>
        </is>
      </c>
    </row>
    <row r="7">
      <c r="B7" s="91" t="inlineStr">
        <is>
          <t>Expert-comptable négocié 1 200 k payé en 3 tranches (M1/M2/M3). Juriste = fondateur, 300 k (contrats spéciaux, M3).</t>
        </is>
      </c>
    </row>
    <row r="8">
      <c r="B8" s="91" t="inlineStr">
        <is>
          <t>CAPEX étalé : frais véhicule (habillage 30 k + kit 10 k + inspection 6 k = 46 k/véh) payés au fil de l'onboarding. Photoshoot M4, vidéo promo M5.</t>
        </is>
      </c>
    </row>
    <row r="9">
      <c r="B9" s="91" t="inlineStr">
        <is>
          <t>Marketing lean : 0 en M1-M2 (pré-lancement), 300 k/mois M3-M12, 500 k/mois en An 2. Caution bureau 2 mois (200 k).</t>
        </is>
      </c>
    </row>
    <row r="10">
      <c r="B10" s="91" t="inlineStr">
        <is>
          <t>OPEX : salarié déclaré 116,4 k/mois (coût employeur charges incluses), pas de rétainer juriste. Ops manager (200 k) + Parakou (125 k) décalés à M19.</t>
        </is>
      </c>
    </row>
    <row r="11">
      <c r="B11" s="91" t="inlineStr">
        <is>
          <t>Recettes et montée en flotte identiques aux onglets existants (0 -&gt; 25 véh An 1 à 70 k/véh, 25 -&gt; 30 véh An 2 à 100-140 k/véh).</t>
        </is>
      </c>
    </row>
    <row r="12">
      <c r="B12" s="91" t="inlineStr">
        <is>
          <t>Fiscalité : hypothèse label startup obtenu (IS = 0 en An 1-2). ADR : encaissements M1-M6 (1 000 k), remboursements M15-M20 (calendrier onglet Cash flow ADR).</t>
        </is>
      </c>
    </row>
    <row r="14">
      <c r="B14" s="92" t="inlineStr">
        <is>
          <t>Flux (k FCFA)</t>
        </is>
      </c>
      <c r="C14" s="92" t="inlineStr">
        <is>
          <t>M1</t>
        </is>
      </c>
      <c r="D14" s="92" t="inlineStr">
        <is>
          <t>M2</t>
        </is>
      </c>
      <c r="E14" s="92" t="inlineStr">
        <is>
          <t>M3</t>
        </is>
      </c>
      <c r="F14" s="92" t="inlineStr">
        <is>
          <t>M4</t>
        </is>
      </c>
      <c r="G14" s="92" t="inlineStr">
        <is>
          <t>M5</t>
        </is>
      </c>
      <c r="H14" s="92" t="inlineStr">
        <is>
          <t>M6</t>
        </is>
      </c>
      <c r="I14" s="92" t="inlineStr">
        <is>
          <t>M7</t>
        </is>
      </c>
      <c r="J14" s="92" t="inlineStr">
        <is>
          <t>M8</t>
        </is>
      </c>
      <c r="K14" s="92" t="inlineStr">
        <is>
          <t>M9</t>
        </is>
      </c>
      <c r="L14" s="92" t="inlineStr">
        <is>
          <t>M10</t>
        </is>
      </c>
      <c r="M14" s="92" t="inlineStr">
        <is>
          <t>M11</t>
        </is>
      </c>
      <c r="N14" s="92" t="inlineStr">
        <is>
          <t>M12</t>
        </is>
      </c>
      <c r="O14" s="92" t="inlineStr">
        <is>
          <t>M13</t>
        </is>
      </c>
      <c r="P14" s="92" t="inlineStr">
        <is>
          <t>M14</t>
        </is>
      </c>
      <c r="Q14" s="92" t="inlineStr">
        <is>
          <t>M15</t>
        </is>
      </c>
      <c r="R14" s="92" t="inlineStr">
        <is>
          <t>M16</t>
        </is>
      </c>
      <c r="S14" s="92" t="inlineStr">
        <is>
          <t>M17</t>
        </is>
      </c>
      <c r="T14" s="92" t="inlineStr">
        <is>
          <t>M18</t>
        </is>
      </c>
      <c r="U14" s="92" t="inlineStr">
        <is>
          <t>M19</t>
        </is>
      </c>
      <c r="V14" s="92" t="inlineStr">
        <is>
          <t>M20</t>
        </is>
      </c>
      <c r="W14" s="92" t="inlineStr">
        <is>
          <t>M21</t>
        </is>
      </c>
      <c r="X14" s="92" t="inlineStr">
        <is>
          <t>M22</t>
        </is>
      </c>
      <c r="Y14" s="92" t="inlineStr">
        <is>
          <t>M23</t>
        </is>
      </c>
      <c r="Z14" s="92" t="inlineStr">
        <is>
          <t>M24</t>
        </is>
      </c>
      <c r="AA14" s="92" t="inlineStr">
        <is>
          <t>Total</t>
        </is>
      </c>
    </row>
    <row r="15">
      <c r="B15" s="93" t="inlineStr">
        <is>
          <t>Levée capital — tranche 1</t>
        </is>
      </c>
      <c r="C15" s="94" t="n">
        <v>5000</v>
      </c>
      <c r="D15" s="94" t="n">
        <v>0</v>
      </c>
      <c r="E15" s="94" t="n">
        <v>0</v>
      </c>
      <c r="F15" s="94" t="n">
        <v>0</v>
      </c>
      <c r="G15" s="94" t="n">
        <v>0</v>
      </c>
      <c r="H15" s="94" t="n">
        <v>0</v>
      </c>
      <c r="I15" s="94" t="n">
        <v>0</v>
      </c>
      <c r="J15" s="94" t="n">
        <v>0</v>
      </c>
      <c r="K15" s="94" t="n">
        <v>0</v>
      </c>
      <c r="L15" s="94" t="n">
        <v>0</v>
      </c>
      <c r="M15" s="94" t="n">
        <v>0</v>
      </c>
      <c r="N15" s="94" t="n">
        <v>0</v>
      </c>
      <c r="O15" s="94" t="n">
        <v>0</v>
      </c>
      <c r="P15" s="94" t="n">
        <v>0</v>
      </c>
      <c r="Q15" s="94" t="n">
        <v>0</v>
      </c>
      <c r="R15" s="94" t="n">
        <v>0</v>
      </c>
      <c r="S15" s="94" t="n">
        <v>0</v>
      </c>
      <c r="T15" s="94" t="n">
        <v>0</v>
      </c>
      <c r="U15" s="94" t="n">
        <v>0</v>
      </c>
      <c r="V15" s="94" t="n">
        <v>0</v>
      </c>
      <c r="W15" s="94" t="n">
        <v>0</v>
      </c>
      <c r="X15" s="94" t="n">
        <v>0</v>
      </c>
      <c r="Y15" s="94" t="n">
        <v>0</v>
      </c>
      <c r="Z15" s="94" t="n">
        <v>0</v>
      </c>
      <c r="AA15" s="95">
        <f>SUM(C15:Z15)</f>
        <v/>
      </c>
    </row>
    <row r="16">
      <c r="B16" s="93" t="inlineStr">
        <is>
          <t>Levée capital — tranche 2 (conditionnelle M4)</t>
        </is>
      </c>
      <c r="C16" s="94" t="n">
        <v>0</v>
      </c>
      <c r="D16" s="94" t="n">
        <v>0</v>
      </c>
      <c r="E16" s="94" t="n">
        <v>0</v>
      </c>
      <c r="F16" s="94" t="n">
        <v>3000</v>
      </c>
      <c r="G16" s="94" t="n">
        <v>0</v>
      </c>
      <c r="H16" s="94" t="n">
        <v>0</v>
      </c>
      <c r="I16" s="94" t="n">
        <v>0</v>
      </c>
      <c r="J16" s="94" t="n">
        <v>0</v>
      </c>
      <c r="K16" s="94" t="n">
        <v>0</v>
      </c>
      <c r="L16" s="94" t="n">
        <v>0</v>
      </c>
      <c r="M16" s="94" t="n">
        <v>0</v>
      </c>
      <c r="N16" s="94" t="n">
        <v>0</v>
      </c>
      <c r="O16" s="94" t="n">
        <v>0</v>
      </c>
      <c r="P16" s="94" t="n">
        <v>0</v>
      </c>
      <c r="Q16" s="94" t="n">
        <v>0</v>
      </c>
      <c r="R16" s="94" t="n">
        <v>0</v>
      </c>
      <c r="S16" s="94" t="n">
        <v>0</v>
      </c>
      <c r="T16" s="94" t="n">
        <v>0</v>
      </c>
      <c r="U16" s="94" t="n">
        <v>0</v>
      </c>
      <c r="V16" s="94" t="n">
        <v>0</v>
      </c>
      <c r="W16" s="94" t="n">
        <v>0</v>
      </c>
      <c r="X16" s="94" t="n">
        <v>0</v>
      </c>
      <c r="Y16" s="94" t="n">
        <v>0</v>
      </c>
      <c r="Z16" s="94" t="n">
        <v>0</v>
      </c>
      <c r="AA16" s="95">
        <f>SUM(C16:Z16)</f>
        <v/>
      </c>
    </row>
    <row r="17">
      <c r="B17" s="93" t="inlineStr">
        <is>
          <t>ADR encaissées</t>
        </is>
      </c>
      <c r="C17" s="94" t="n">
        <v>300</v>
      </c>
      <c r="D17" s="94" t="n">
        <v>200</v>
      </c>
      <c r="E17" s="94" t="n">
        <v>200</v>
      </c>
      <c r="F17" s="94" t="n">
        <v>100</v>
      </c>
      <c r="G17" s="94" t="n">
        <v>100</v>
      </c>
      <c r="H17" s="94" t="n">
        <v>100</v>
      </c>
      <c r="I17" s="94" t="n">
        <v>0</v>
      </c>
      <c r="J17" s="94" t="n">
        <v>0</v>
      </c>
      <c r="K17" s="94" t="n">
        <v>0</v>
      </c>
      <c r="L17" s="94" t="n">
        <v>0</v>
      </c>
      <c r="M17" s="94" t="n">
        <v>0</v>
      </c>
      <c r="N17" s="94" t="n">
        <v>0</v>
      </c>
      <c r="O17" s="94" t="n">
        <v>0</v>
      </c>
      <c r="P17" s="94" t="n">
        <v>0</v>
      </c>
      <c r="Q17" s="94" t="n">
        <v>0</v>
      </c>
      <c r="R17" s="94" t="n">
        <v>0</v>
      </c>
      <c r="S17" s="94" t="n">
        <v>0</v>
      </c>
      <c r="T17" s="94" t="n">
        <v>0</v>
      </c>
      <c r="U17" s="94" t="n">
        <v>0</v>
      </c>
      <c r="V17" s="94" t="n">
        <v>0</v>
      </c>
      <c r="W17" s="94" t="n">
        <v>0</v>
      </c>
      <c r="X17" s="94" t="n">
        <v>0</v>
      </c>
      <c r="Y17" s="94" t="n">
        <v>0</v>
      </c>
      <c r="Z17" s="94" t="n">
        <v>0</v>
      </c>
      <c r="AA17" s="95">
        <f>SUM(C17:Z17)</f>
        <v/>
      </c>
    </row>
    <row r="18">
      <c r="B18" s="93" t="inlineStr">
        <is>
          <t>Recettes plateforme</t>
        </is>
      </c>
      <c r="C18" s="94" t="n">
        <v>0</v>
      </c>
      <c r="D18" s="94" t="n">
        <v>0</v>
      </c>
      <c r="E18" s="94" t="n">
        <v>210</v>
      </c>
      <c r="F18" s="94" t="n">
        <v>350</v>
      </c>
      <c r="G18" s="94" t="n">
        <v>490</v>
      </c>
      <c r="H18" s="94" t="n">
        <v>700</v>
      </c>
      <c r="I18" s="94" t="n">
        <v>840</v>
      </c>
      <c r="J18" s="94" t="n">
        <v>910</v>
      </c>
      <c r="K18" s="94" t="n">
        <v>1050</v>
      </c>
      <c r="L18" s="94" t="n">
        <v>1190</v>
      </c>
      <c r="M18" s="94" t="n">
        <v>1400</v>
      </c>
      <c r="N18" s="94" t="n">
        <v>1750</v>
      </c>
      <c r="O18" s="94" t="n">
        <v>2500</v>
      </c>
      <c r="P18" s="94" t="n">
        <v>3120</v>
      </c>
      <c r="Q18" s="94" t="n">
        <v>3510</v>
      </c>
      <c r="R18" s="94" t="n">
        <v>3920</v>
      </c>
      <c r="S18" s="94" t="n">
        <v>4060</v>
      </c>
      <c r="T18" s="94" t="n">
        <v>4200</v>
      </c>
      <c r="U18" s="94" t="n">
        <v>4200</v>
      </c>
      <c r="V18" s="94" t="n">
        <v>4200</v>
      </c>
      <c r="W18" s="94" t="n">
        <v>4200</v>
      </c>
      <c r="X18" s="94" t="n">
        <v>4200</v>
      </c>
      <c r="Y18" s="94" t="n">
        <v>4200</v>
      </c>
      <c r="Z18" s="94" t="n">
        <v>4200</v>
      </c>
      <c r="AA18" s="95">
        <f>SUM(C18:Z18)</f>
        <v/>
      </c>
    </row>
    <row r="19">
      <c r="B19" s="96" t="inlineStr">
        <is>
          <t>CAPEX étalé</t>
        </is>
      </c>
      <c r="C19" s="97" t="n">
        <v>-1125</v>
      </c>
      <c r="D19" s="97" t="n">
        <v>-850</v>
      </c>
      <c r="E19" s="97" t="n">
        <v>-1238</v>
      </c>
      <c r="F19" s="97" t="n">
        <v>-292</v>
      </c>
      <c r="G19" s="97" t="n">
        <v>-392</v>
      </c>
      <c r="H19" s="97" t="n">
        <v>-138</v>
      </c>
      <c r="I19" s="97" t="n">
        <v>-92</v>
      </c>
      <c r="J19" s="97" t="n">
        <v>-46</v>
      </c>
      <c r="K19" s="97" t="n">
        <v>-92</v>
      </c>
      <c r="L19" s="97" t="n">
        <v>-92</v>
      </c>
      <c r="M19" s="97" t="n">
        <v>-138</v>
      </c>
      <c r="N19" s="97" t="n">
        <v>-230</v>
      </c>
      <c r="O19" s="97" t="n">
        <v>0</v>
      </c>
      <c r="P19" s="97" t="n">
        <v>0</v>
      </c>
      <c r="Q19" s="97" t="n">
        <v>0</v>
      </c>
      <c r="R19" s="97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8">
        <f>SUM(C19:Z19)</f>
        <v/>
      </c>
    </row>
    <row r="20">
      <c r="B20" s="96" t="inlineStr">
        <is>
          <t>OPEX lean</t>
        </is>
      </c>
      <c r="C20" s="97" t="n">
        <v>-634.6</v>
      </c>
      <c r="D20" s="97" t="n">
        <v>-634.6</v>
      </c>
      <c r="E20" s="97" t="n">
        <v>-934.6</v>
      </c>
      <c r="F20" s="97" t="n">
        <v>-934.6</v>
      </c>
      <c r="G20" s="97" t="n">
        <v>-934.6</v>
      </c>
      <c r="H20" s="97" t="n">
        <v>-934.6</v>
      </c>
      <c r="I20" s="97" t="n">
        <v>-946.6</v>
      </c>
      <c r="J20" s="97" t="n">
        <v>-946.6</v>
      </c>
      <c r="K20" s="97" t="n">
        <v>-946.6</v>
      </c>
      <c r="L20" s="97" t="n">
        <v>-946.6</v>
      </c>
      <c r="M20" s="97" t="n">
        <v>-946.6</v>
      </c>
      <c r="N20" s="97" t="n">
        <v>-946.6</v>
      </c>
      <c r="O20" s="97" t="n">
        <v>-1146.6</v>
      </c>
      <c r="P20" s="97" t="n">
        <v>-1146.6</v>
      </c>
      <c r="Q20" s="97" t="n">
        <v>-1146.6</v>
      </c>
      <c r="R20" s="97" t="n">
        <v>-1146.6</v>
      </c>
      <c r="S20" s="97" t="n">
        <v>-1146.6</v>
      </c>
      <c r="T20" s="97" t="n">
        <v>-1146.6</v>
      </c>
      <c r="U20" s="97" t="n">
        <v>-1471.6</v>
      </c>
      <c r="V20" s="97" t="n">
        <v>-1471.6</v>
      </c>
      <c r="W20" s="97" t="n">
        <v>-1471.6</v>
      </c>
      <c r="X20" s="97" t="n">
        <v>-1471.6</v>
      </c>
      <c r="Y20" s="97" t="n">
        <v>-1471.6</v>
      </c>
      <c r="Z20" s="97" t="n">
        <v>-1471.6</v>
      </c>
      <c r="AA20" s="98">
        <f>SUM(C20:Z20)</f>
        <v/>
      </c>
    </row>
    <row r="21">
      <c r="B21" s="96" t="inlineStr">
        <is>
          <t>Remboursements ADR</t>
        </is>
      </c>
      <c r="C21" s="97" t="n">
        <v>0</v>
      </c>
      <c r="D21" s="97" t="n">
        <v>0</v>
      </c>
      <c r="E21" s="97" t="n">
        <v>0</v>
      </c>
      <c r="F21" s="97" t="n">
        <v>0</v>
      </c>
      <c r="G21" s="97" t="n">
        <v>0</v>
      </c>
      <c r="H21" s="97" t="n">
        <v>0</v>
      </c>
      <c r="I21" s="97" t="n">
        <v>0</v>
      </c>
      <c r="J21" s="97" t="n">
        <v>0</v>
      </c>
      <c r="K21" s="97" t="n">
        <v>0</v>
      </c>
      <c r="L21" s="97" t="n">
        <v>0</v>
      </c>
      <c r="M21" s="97" t="n">
        <v>0</v>
      </c>
      <c r="N21" s="97" t="n">
        <v>0</v>
      </c>
      <c r="O21" s="97" t="n">
        <v>0</v>
      </c>
      <c r="P21" s="97" t="n">
        <v>0</v>
      </c>
      <c r="Q21" s="97" t="n">
        <v>-300</v>
      </c>
      <c r="R21" s="97" t="n">
        <v>-200</v>
      </c>
      <c r="S21" s="97" t="n">
        <v>-200</v>
      </c>
      <c r="T21" s="97" t="n">
        <v>-100</v>
      </c>
      <c r="U21" s="97" t="n">
        <v>-100</v>
      </c>
      <c r="V21" s="97" t="n">
        <v>-100</v>
      </c>
      <c r="W21" s="97" t="n">
        <v>0</v>
      </c>
      <c r="X21" s="97" t="n">
        <v>0</v>
      </c>
      <c r="Y21" s="97" t="n">
        <v>0</v>
      </c>
      <c r="Z21" s="97" t="n">
        <v>0</v>
      </c>
      <c r="AA21" s="98">
        <f>SUM(C21:Z21)</f>
        <v/>
      </c>
    </row>
    <row r="22">
      <c r="B22" s="99" t="inlineStr">
        <is>
          <t>Flux net du mois</t>
        </is>
      </c>
      <c r="C22" s="100">
        <f>SUM(C15:C21)</f>
        <v/>
      </c>
      <c r="D22" s="100">
        <f>SUM(D15:D21)</f>
        <v/>
      </c>
      <c r="E22" s="100">
        <f>SUM(E15:E21)</f>
        <v/>
      </c>
      <c r="F22" s="100">
        <f>SUM(F15:F21)</f>
        <v/>
      </c>
      <c r="G22" s="100">
        <f>SUM(G15:G21)</f>
        <v/>
      </c>
      <c r="H22" s="100">
        <f>SUM(H15:H21)</f>
        <v/>
      </c>
      <c r="I22" s="100">
        <f>SUM(I15:I21)</f>
        <v/>
      </c>
      <c r="J22" s="100">
        <f>SUM(J15:J21)</f>
        <v/>
      </c>
      <c r="K22" s="100">
        <f>SUM(K15:K21)</f>
        <v/>
      </c>
      <c r="L22" s="100">
        <f>SUM(L15:L21)</f>
        <v/>
      </c>
      <c r="M22" s="100">
        <f>SUM(M15:M21)</f>
        <v/>
      </c>
      <c r="N22" s="100">
        <f>SUM(N15:N21)</f>
        <v/>
      </c>
      <c r="O22" s="100">
        <f>SUM(O15:O21)</f>
        <v/>
      </c>
      <c r="P22" s="100">
        <f>SUM(P15:P21)</f>
        <v/>
      </c>
      <c r="Q22" s="100">
        <f>SUM(Q15:Q21)</f>
        <v/>
      </c>
      <c r="R22" s="100">
        <f>SUM(R15:R21)</f>
        <v/>
      </c>
      <c r="S22" s="100">
        <f>SUM(S15:S21)</f>
        <v/>
      </c>
      <c r="T22" s="100">
        <f>SUM(T15:T21)</f>
        <v/>
      </c>
      <c r="U22" s="100">
        <f>SUM(U15:U21)</f>
        <v/>
      </c>
      <c r="V22" s="100">
        <f>SUM(V15:V21)</f>
        <v/>
      </c>
      <c r="W22" s="100">
        <f>SUM(W15:W21)</f>
        <v/>
      </c>
      <c r="X22" s="100">
        <f>SUM(X15:X21)</f>
        <v/>
      </c>
      <c r="Y22" s="100">
        <f>SUM(Y15:Y21)</f>
        <v/>
      </c>
      <c r="Z22" s="100">
        <f>SUM(Z15:Z21)</f>
        <v/>
      </c>
      <c r="AA22" s="100">
        <f>SUM(C22:Z22)</f>
        <v/>
      </c>
    </row>
    <row r="23">
      <c r="B23" s="101" t="inlineStr">
        <is>
          <t>TRÉSORERIE FIN DE MOIS</t>
        </is>
      </c>
      <c r="C23" s="102">
        <f>C22</f>
        <v/>
      </c>
      <c r="D23" s="102">
        <f>C23+D22</f>
        <v/>
      </c>
      <c r="E23" s="102">
        <f>D23+E22</f>
        <v/>
      </c>
      <c r="F23" s="102">
        <f>E23+F22</f>
        <v/>
      </c>
      <c r="G23" s="102">
        <f>F23+G22</f>
        <v/>
      </c>
      <c r="H23" s="102">
        <f>G23+H22</f>
        <v/>
      </c>
      <c r="I23" s="102">
        <f>H23+I22</f>
        <v/>
      </c>
      <c r="J23" s="102">
        <f>I23+J22</f>
        <v/>
      </c>
      <c r="K23" s="102">
        <f>J23+K22</f>
        <v/>
      </c>
      <c r="L23" s="102">
        <f>K23+L22</f>
        <v/>
      </c>
      <c r="M23" s="102">
        <f>L23+M22</f>
        <v/>
      </c>
      <c r="N23" s="102">
        <f>M23+N22</f>
        <v/>
      </c>
      <c r="O23" s="102">
        <f>N23+O22</f>
        <v/>
      </c>
      <c r="P23" s="102">
        <f>O23+P22</f>
        <v/>
      </c>
      <c r="Q23" s="102">
        <f>P23+Q22</f>
        <v/>
      </c>
      <c r="R23" s="102">
        <f>Q23+R22</f>
        <v/>
      </c>
      <c r="S23" s="102">
        <f>R23+S22</f>
        <v/>
      </c>
      <c r="T23" s="102">
        <f>S23+T22</f>
        <v/>
      </c>
      <c r="U23" s="102">
        <f>T23+U22</f>
        <v/>
      </c>
      <c r="V23" s="102">
        <f>U23+V22</f>
        <v/>
      </c>
      <c r="W23" s="102">
        <f>V23+W22</f>
        <v/>
      </c>
      <c r="X23" s="102">
        <f>W23+X22</f>
        <v/>
      </c>
      <c r="Y23" s="102">
        <f>X23+Y22</f>
        <v/>
      </c>
      <c r="Z23" s="102">
        <f>Y23+Z22</f>
        <v/>
      </c>
      <c r="AA23" s="103" t="n"/>
    </row>
    <row r="25">
      <c r="B25" s="90" t="inlineStr">
        <is>
          <t>Synthèse</t>
        </is>
      </c>
    </row>
    <row r="26">
      <c r="B26" s="104" t="inlineStr">
        <is>
          <t>AVEC tranche 2 (3 000 k à M4) : point bas de trésorerie = +493 k à M3 — VIABLE. Fin M24 = +32 279 k.</t>
        </is>
      </c>
    </row>
    <row r="27">
      <c r="B27" s="104" t="inlineStr">
        <is>
          <t>SANS tranche 2 (5 000 k seuls) : point bas = -1 574 k à M8 — NON VIABLE (trésorerie négative de M4 à M12). Fin M24 = +29 279 k.</t>
        </is>
      </c>
    </row>
    <row r="28">
      <c r="B28" s="105" t="inlineStr">
        <is>
          <t>Conclusion : 5 M seuls ne suffisent PAS, même en mode lean. La tranche 2 conditionnelle de 3 M, appelable dès M4 et engagée au Protocole d'Accord, est indispensable.</t>
        </is>
      </c>
    </row>
    <row r="29">
      <c r="B29" s="104" t="inlineStr">
        <is>
          <t>Alternative : réduire la cible An 1 a un impact direct sur les recettes — ne pas chercher l'équilibre en coupant l'onboarding, c'est lui qui crée les recettes.</t>
        </is>
      </c>
    </row>
  </sheetData>
  <mergeCells count="13">
    <mergeCell ref="B10:AA10"/>
    <mergeCell ref="B28:AA28"/>
    <mergeCell ref="B8:AA8"/>
    <mergeCell ref="B26:AA26"/>
    <mergeCell ref="B27:AA27"/>
    <mergeCell ref="B9:AA9"/>
    <mergeCell ref="B12:AA12"/>
    <mergeCell ref="B6:AA6"/>
    <mergeCell ref="B29:AA29"/>
    <mergeCell ref="B7:AA7"/>
    <mergeCell ref="B11:AA11"/>
    <mergeCell ref="B5:AA5"/>
    <mergeCell ref="B25:AA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A33"/>
  <sheetViews>
    <sheetView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</cols>
  <sheetData>
    <row r="2" ht="22" customHeight="1">
      <c r="B2" s="88" t="inlineStr">
        <is>
          <t>Scénario ultra-lean — levée 3 M FCFA, charges au strict minimum</t>
        </is>
      </c>
    </row>
    <row r="3">
      <c r="B3" s="89" t="inlineStr">
        <is>
          <t>Toutes les valeurs en milliers de FCFA (k). Onglet autonome — ne modifie pas les autres onglets.</t>
        </is>
      </c>
    </row>
    <row r="5">
      <c r="B5" s="106" t="inlineStr">
        <is>
          <t>Les coupes par rapport au scénario lean 5M — à valider</t>
        </is>
      </c>
    </row>
    <row r="6">
      <c r="B6" s="91" t="inlineStr">
        <is>
          <t>1. BUREAU DIFFÉRÉ À M7 (au lieu de M0) : 6 mois en home office + rendez-vous chez partenaires/coworking à la journée. Économie ~1,7 M sur le 1er semestre. Le bureau ouvre quand les recettes tournent (M7).</t>
        </is>
      </c>
    </row>
    <row r="7">
      <c r="B7" s="91" t="inlineStr">
        <is>
          <t>2. SALARIÉ DIFFÉRÉ À M7 : secrétariat/support assurés par le fondateur les 6 premiers mois. Économie ~700 k.</t>
        </is>
      </c>
    </row>
    <row r="8">
      <c r="B8" s="91" t="inlineStr">
        <is>
          <t>3. MARKETING TERRAIN UNIQUEMENT AN 1 : 100 k/mois dès M3 (flyers, parrainage, activation chauffeurs) — pas d'ads média avant M13. Croissance portée par le bouche-à-oreille et le corridor.</t>
        </is>
      </c>
    </row>
    <row r="9">
      <c r="B9" s="91" t="inlineStr">
        <is>
          <t>4. FONDATEUR NON RÉMUNÉRÉ comme juriste (économie 300 k) — rédige lui-même les contrats, validation ponctuelle externe si besoin.</t>
        </is>
      </c>
    </row>
    <row r="10">
      <c r="B10" s="91" t="inlineStr">
        <is>
          <t>5. COMPTABLE ALLÉGÉ : 30 k/mois an 1 (tenue légère négociée avec l'expert-comptable), 40 k/mois an 2.</t>
        </is>
      </c>
    </row>
    <row r="11">
      <c r="B11" s="91" t="inlineStr">
        <is>
          <t>6. VIDÉO PROMO ET PHOTOSHOOT PRO REPORTÉS à M8+, autofinancés par les recettes. Lancement avec photos légères (50 k) + événement modeste (150 k).</t>
        </is>
      </c>
    </row>
    <row r="12">
      <c r="B12" s="91" t="inlineStr">
        <is>
          <t>7. Community manager mi-temps 50 k/mois an 1 (75 k an 2). Support client 25 k/mois an 1 (50 k an 2).</t>
        </is>
      </c>
    </row>
    <row r="13">
      <c r="B13" s="91" t="inlineStr">
        <is>
          <t>8. Expert-comptable négocié 1,2 M en 3 tranches (M1/M2/M3). ANATT 300 k (M2). Charte visuelle légère 50 k (logo et plaquette déjà faits).</t>
        </is>
      </c>
    </row>
    <row r="14">
      <c r="B14" s="91" t="inlineStr">
        <is>
          <t>9. Mise en service véhicules ~60 k/véh moyen (inspection + habillage + kit + traceur) au fil de l'onboarding — financée par les ADR encaissées (75/100/125 k par engin).</t>
        </is>
      </c>
    </row>
    <row r="15">
      <c r="B15" s="91" t="inlineStr">
        <is>
          <t>Recettes et montée en flotte INCHANGÉES (0 → 25 véh an 1 à 70 k/véh, 25 → 30 an 2 à 100-140 k/véh) : on coupe les charges, jamais le moteur de revenus.</t>
        </is>
      </c>
    </row>
    <row r="17">
      <c r="B17" s="92" t="inlineStr">
        <is>
          <t>Flux (k FCFA)</t>
        </is>
      </c>
      <c r="C17" s="92" t="inlineStr">
        <is>
          <t>M1</t>
        </is>
      </c>
      <c r="D17" s="92" t="inlineStr">
        <is>
          <t>M2</t>
        </is>
      </c>
      <c r="E17" s="92" t="inlineStr">
        <is>
          <t>M3</t>
        </is>
      </c>
      <c r="F17" s="92" t="inlineStr">
        <is>
          <t>M4</t>
        </is>
      </c>
      <c r="G17" s="92" t="inlineStr">
        <is>
          <t>M5</t>
        </is>
      </c>
      <c r="H17" s="92" t="inlineStr">
        <is>
          <t>M6</t>
        </is>
      </c>
      <c r="I17" s="92" t="inlineStr">
        <is>
          <t>M7</t>
        </is>
      </c>
      <c r="J17" s="92" t="inlineStr">
        <is>
          <t>M8</t>
        </is>
      </c>
      <c r="K17" s="92" t="inlineStr">
        <is>
          <t>M9</t>
        </is>
      </c>
      <c r="L17" s="92" t="inlineStr">
        <is>
          <t>M10</t>
        </is>
      </c>
      <c r="M17" s="92" t="inlineStr">
        <is>
          <t>M11</t>
        </is>
      </c>
      <c r="N17" s="92" t="inlineStr">
        <is>
          <t>M12</t>
        </is>
      </c>
      <c r="O17" s="92" t="inlineStr">
        <is>
          <t>M13</t>
        </is>
      </c>
      <c r="P17" s="92" t="inlineStr">
        <is>
          <t>M14</t>
        </is>
      </c>
      <c r="Q17" s="92" t="inlineStr">
        <is>
          <t>M15</t>
        </is>
      </c>
      <c r="R17" s="92" t="inlineStr">
        <is>
          <t>M16</t>
        </is>
      </c>
      <c r="S17" s="92" t="inlineStr">
        <is>
          <t>M17</t>
        </is>
      </c>
      <c r="T17" s="92" t="inlineStr">
        <is>
          <t>M18</t>
        </is>
      </c>
      <c r="U17" s="92" t="inlineStr">
        <is>
          <t>M19</t>
        </is>
      </c>
      <c r="V17" s="92" t="inlineStr">
        <is>
          <t>M20</t>
        </is>
      </c>
      <c r="W17" s="92" t="inlineStr">
        <is>
          <t>M21</t>
        </is>
      </c>
      <c r="X17" s="92" t="inlineStr">
        <is>
          <t>M22</t>
        </is>
      </c>
      <c r="Y17" s="92" t="inlineStr">
        <is>
          <t>M23</t>
        </is>
      </c>
      <c r="Z17" s="92" t="inlineStr">
        <is>
          <t>M24</t>
        </is>
      </c>
      <c r="AA17" s="92" t="inlineStr">
        <is>
          <t>Total</t>
        </is>
      </c>
    </row>
    <row r="18">
      <c r="B18" s="93" t="inlineStr">
        <is>
          <t>Levée capital (3 M, unique)</t>
        </is>
      </c>
      <c r="C18" s="94" t="n">
        <v>3000</v>
      </c>
      <c r="D18" s="94" t="n">
        <v>0</v>
      </c>
      <c r="E18" s="94" t="n">
        <v>0</v>
      </c>
      <c r="F18" s="94" t="n">
        <v>0</v>
      </c>
      <c r="G18" s="94" t="n">
        <v>0</v>
      </c>
      <c r="H18" s="94" t="n">
        <v>0</v>
      </c>
      <c r="I18" s="94" t="n">
        <v>0</v>
      </c>
      <c r="J18" s="94" t="n">
        <v>0</v>
      </c>
      <c r="K18" s="94" t="n">
        <v>0</v>
      </c>
      <c r="L18" s="94" t="n">
        <v>0</v>
      </c>
      <c r="M18" s="94" t="n">
        <v>0</v>
      </c>
      <c r="N18" s="94" t="n">
        <v>0</v>
      </c>
      <c r="O18" s="94" t="n">
        <v>0</v>
      </c>
      <c r="P18" s="94" t="n">
        <v>0</v>
      </c>
      <c r="Q18" s="94" t="n">
        <v>0</v>
      </c>
      <c r="R18" s="94" t="n">
        <v>0</v>
      </c>
      <c r="S18" s="94" t="n">
        <v>0</v>
      </c>
      <c r="T18" s="94" t="n">
        <v>0</v>
      </c>
      <c r="U18" s="94" t="n">
        <v>0</v>
      </c>
      <c r="V18" s="94" t="n">
        <v>0</v>
      </c>
      <c r="W18" s="94" t="n">
        <v>0</v>
      </c>
      <c r="X18" s="94" t="n">
        <v>0</v>
      </c>
      <c r="Y18" s="94" t="n">
        <v>0</v>
      </c>
      <c r="Z18" s="94" t="n">
        <v>0</v>
      </c>
      <c r="AA18" s="95">
        <f>SUM(C18:Z18)</f>
        <v/>
      </c>
    </row>
    <row r="19">
      <c r="B19" s="93" t="inlineStr">
        <is>
          <t>ADR encaissées</t>
        </is>
      </c>
      <c r="C19" s="94" t="n">
        <v>300</v>
      </c>
      <c r="D19" s="94" t="n">
        <v>200</v>
      </c>
      <c r="E19" s="94" t="n">
        <v>200</v>
      </c>
      <c r="F19" s="94" t="n">
        <v>100</v>
      </c>
      <c r="G19" s="94" t="n">
        <v>100</v>
      </c>
      <c r="H19" s="94" t="n">
        <v>100</v>
      </c>
      <c r="I19" s="94" t="n">
        <v>0</v>
      </c>
      <c r="J19" s="94" t="n">
        <v>0</v>
      </c>
      <c r="K19" s="94" t="n">
        <v>0</v>
      </c>
      <c r="L19" s="94" t="n">
        <v>0</v>
      </c>
      <c r="M19" s="94" t="n">
        <v>0</v>
      </c>
      <c r="N19" s="94" t="n">
        <v>0</v>
      </c>
      <c r="O19" s="94" t="n">
        <v>0</v>
      </c>
      <c r="P19" s="94" t="n">
        <v>0</v>
      </c>
      <c r="Q19" s="94" t="n">
        <v>0</v>
      </c>
      <c r="R19" s="94" t="n">
        <v>0</v>
      </c>
      <c r="S19" s="94" t="n">
        <v>0</v>
      </c>
      <c r="T19" s="94" t="n">
        <v>0</v>
      </c>
      <c r="U19" s="94" t="n">
        <v>0</v>
      </c>
      <c r="V19" s="94" t="n">
        <v>0</v>
      </c>
      <c r="W19" s="94" t="n">
        <v>0</v>
      </c>
      <c r="X19" s="94" t="n">
        <v>0</v>
      </c>
      <c r="Y19" s="94" t="n">
        <v>0</v>
      </c>
      <c r="Z19" s="94" t="n">
        <v>0</v>
      </c>
      <c r="AA19" s="95">
        <f>SUM(C19:Z19)</f>
        <v/>
      </c>
    </row>
    <row r="20">
      <c r="B20" s="93" t="inlineStr">
        <is>
          <t>Recettes plateforme</t>
        </is>
      </c>
      <c r="C20" s="94" t="n">
        <v>0</v>
      </c>
      <c r="D20" s="94" t="n">
        <v>0</v>
      </c>
      <c r="E20" s="94" t="n">
        <v>210</v>
      </c>
      <c r="F20" s="94" t="n">
        <v>350</v>
      </c>
      <c r="G20" s="94" t="n">
        <v>490</v>
      </c>
      <c r="H20" s="94" t="n">
        <v>700</v>
      </c>
      <c r="I20" s="94" t="n">
        <v>840</v>
      </c>
      <c r="J20" s="94" t="n">
        <v>910</v>
      </c>
      <c r="K20" s="94" t="n">
        <v>1050</v>
      </c>
      <c r="L20" s="94" t="n">
        <v>1190</v>
      </c>
      <c r="M20" s="94" t="n">
        <v>1400</v>
      </c>
      <c r="N20" s="94" t="n">
        <v>1750</v>
      </c>
      <c r="O20" s="94" t="n">
        <v>2500</v>
      </c>
      <c r="P20" s="94" t="n">
        <v>3120</v>
      </c>
      <c r="Q20" s="94" t="n">
        <v>3510</v>
      </c>
      <c r="R20" s="94" t="n">
        <v>3920</v>
      </c>
      <c r="S20" s="94" t="n">
        <v>4060</v>
      </c>
      <c r="T20" s="94" t="n">
        <v>4200</v>
      </c>
      <c r="U20" s="94" t="n">
        <v>4200</v>
      </c>
      <c r="V20" s="94" t="n">
        <v>4200</v>
      </c>
      <c r="W20" s="94" t="n">
        <v>4200</v>
      </c>
      <c r="X20" s="94" t="n">
        <v>4200</v>
      </c>
      <c r="Y20" s="94" t="n">
        <v>4200</v>
      </c>
      <c r="Z20" s="94" t="n">
        <v>4200</v>
      </c>
      <c r="AA20" s="95">
        <f>SUM(C20:Z20)</f>
        <v/>
      </c>
    </row>
    <row r="21">
      <c r="B21" s="96" t="inlineStr">
        <is>
          <t>CAPEX ultra-lean étalé</t>
        </is>
      </c>
      <c r="C21" s="97" t="n">
        <v>-400</v>
      </c>
      <c r="D21" s="97" t="n">
        <v>-750</v>
      </c>
      <c r="E21" s="97" t="n">
        <v>-780</v>
      </c>
      <c r="F21" s="97" t="n">
        <v>-120</v>
      </c>
      <c r="G21" s="97" t="n">
        <v>-120</v>
      </c>
      <c r="H21" s="97" t="n">
        <v>-180</v>
      </c>
      <c r="I21" s="97" t="n">
        <v>-520</v>
      </c>
      <c r="J21" s="97" t="n">
        <v>-60</v>
      </c>
      <c r="K21" s="97" t="n">
        <v>-120</v>
      </c>
      <c r="L21" s="97" t="n">
        <v>-120</v>
      </c>
      <c r="M21" s="97" t="n">
        <v>-180</v>
      </c>
      <c r="N21" s="97" t="n">
        <v>-300</v>
      </c>
      <c r="O21" s="97" t="n">
        <v>0</v>
      </c>
      <c r="P21" s="97" t="n">
        <v>0</v>
      </c>
      <c r="Q21" s="97" t="n">
        <v>0</v>
      </c>
      <c r="R21" s="97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8">
        <f>SUM(C21:Z21)</f>
        <v/>
      </c>
    </row>
    <row r="22">
      <c r="B22" s="96" t="inlineStr">
        <is>
          <t>OPEX ultra-lean</t>
        </is>
      </c>
      <c r="C22" s="97" t="n">
        <v>-112</v>
      </c>
      <c r="D22" s="97" t="n">
        <v>-112</v>
      </c>
      <c r="E22" s="97" t="n">
        <v>-344</v>
      </c>
      <c r="F22" s="97" t="n">
        <v>-344</v>
      </c>
      <c r="G22" s="97" t="n">
        <v>-344</v>
      </c>
      <c r="H22" s="97" t="n">
        <v>-344</v>
      </c>
      <c r="I22" s="97" t="n">
        <v>-622</v>
      </c>
      <c r="J22" s="97" t="n">
        <v>-622</v>
      </c>
      <c r="K22" s="97" t="n">
        <v>-622</v>
      </c>
      <c r="L22" s="97" t="n">
        <v>-622</v>
      </c>
      <c r="M22" s="97" t="n">
        <v>-622</v>
      </c>
      <c r="N22" s="97" t="n">
        <v>-622</v>
      </c>
      <c r="O22" s="97" t="n">
        <v>-900</v>
      </c>
      <c r="P22" s="97" t="n">
        <v>-900</v>
      </c>
      <c r="Q22" s="97" t="n">
        <v>-900</v>
      </c>
      <c r="R22" s="97" t="n">
        <v>-900</v>
      </c>
      <c r="S22" s="97" t="n">
        <v>-900</v>
      </c>
      <c r="T22" s="97" t="n">
        <v>-900</v>
      </c>
      <c r="U22" s="97" t="n">
        <v>-1225</v>
      </c>
      <c r="V22" s="97" t="n">
        <v>-1225</v>
      </c>
      <c r="W22" s="97" t="n">
        <v>-1225</v>
      </c>
      <c r="X22" s="97" t="n">
        <v>-1225</v>
      </c>
      <c r="Y22" s="97" t="n">
        <v>-1225</v>
      </c>
      <c r="Z22" s="97" t="n">
        <v>-1225</v>
      </c>
      <c r="AA22" s="98">
        <f>SUM(C22:Z22)</f>
        <v/>
      </c>
    </row>
    <row r="23">
      <c r="B23" s="96" t="inlineStr">
        <is>
          <t>Remboursements ADR</t>
        </is>
      </c>
      <c r="C23" s="97" t="n">
        <v>0</v>
      </c>
      <c r="D23" s="97" t="n">
        <v>0</v>
      </c>
      <c r="E23" s="97" t="n">
        <v>0</v>
      </c>
      <c r="F23" s="97" t="n">
        <v>0</v>
      </c>
      <c r="G23" s="97" t="n">
        <v>0</v>
      </c>
      <c r="H23" s="97" t="n">
        <v>0</v>
      </c>
      <c r="I23" s="97" t="n">
        <v>0</v>
      </c>
      <c r="J23" s="97" t="n">
        <v>0</v>
      </c>
      <c r="K23" s="97" t="n">
        <v>0</v>
      </c>
      <c r="L23" s="97" t="n">
        <v>0</v>
      </c>
      <c r="M23" s="97" t="n">
        <v>0</v>
      </c>
      <c r="N23" s="97" t="n">
        <v>0</v>
      </c>
      <c r="O23" s="97" t="n">
        <v>0</v>
      </c>
      <c r="P23" s="97" t="n">
        <v>0</v>
      </c>
      <c r="Q23" s="97" t="n">
        <v>-300</v>
      </c>
      <c r="R23" s="97" t="n">
        <v>-200</v>
      </c>
      <c r="S23" s="97" t="n">
        <v>-200</v>
      </c>
      <c r="T23" s="97" t="n">
        <v>-100</v>
      </c>
      <c r="U23" s="97" t="n">
        <v>-100</v>
      </c>
      <c r="V23" s="97" t="n">
        <v>-100</v>
      </c>
      <c r="W23" s="97" t="n">
        <v>0</v>
      </c>
      <c r="X23" s="97" t="n">
        <v>0</v>
      </c>
      <c r="Y23" s="97" t="n">
        <v>0</v>
      </c>
      <c r="Z23" s="97" t="n">
        <v>0</v>
      </c>
      <c r="AA23" s="98">
        <f>SUM(C23:Z23)</f>
        <v/>
      </c>
    </row>
    <row r="24">
      <c r="B24" s="99" t="inlineStr">
        <is>
          <t>Flux net du mois</t>
        </is>
      </c>
      <c r="C24" s="100">
        <f>SUM(C18:C23)</f>
        <v/>
      </c>
      <c r="D24" s="100">
        <f>SUM(D18:D23)</f>
        <v/>
      </c>
      <c r="E24" s="100">
        <f>SUM(E18:E23)</f>
        <v/>
      </c>
      <c r="F24" s="100">
        <f>SUM(F18:F23)</f>
        <v/>
      </c>
      <c r="G24" s="100">
        <f>SUM(G18:G23)</f>
        <v/>
      </c>
      <c r="H24" s="100">
        <f>SUM(H18:H23)</f>
        <v/>
      </c>
      <c r="I24" s="100">
        <f>SUM(I18:I23)</f>
        <v/>
      </c>
      <c r="J24" s="100">
        <f>SUM(J18:J23)</f>
        <v/>
      </c>
      <c r="K24" s="100">
        <f>SUM(K18:K23)</f>
        <v/>
      </c>
      <c r="L24" s="100">
        <f>SUM(L18:L23)</f>
        <v/>
      </c>
      <c r="M24" s="100">
        <f>SUM(M18:M23)</f>
        <v/>
      </c>
      <c r="N24" s="100">
        <f>SUM(N18:N23)</f>
        <v/>
      </c>
      <c r="O24" s="100">
        <f>SUM(O18:O23)</f>
        <v/>
      </c>
      <c r="P24" s="100">
        <f>SUM(P18:P23)</f>
        <v/>
      </c>
      <c r="Q24" s="100">
        <f>SUM(Q18:Q23)</f>
        <v/>
      </c>
      <c r="R24" s="100">
        <f>SUM(R18:R23)</f>
        <v/>
      </c>
      <c r="S24" s="100">
        <f>SUM(S18:S23)</f>
        <v/>
      </c>
      <c r="T24" s="100">
        <f>SUM(T18:T23)</f>
        <v/>
      </c>
      <c r="U24" s="100">
        <f>SUM(U18:U23)</f>
        <v/>
      </c>
      <c r="V24" s="100">
        <f>SUM(V18:V23)</f>
        <v/>
      </c>
      <c r="W24" s="100">
        <f>SUM(W18:W23)</f>
        <v/>
      </c>
      <c r="X24" s="100">
        <f>SUM(X18:X23)</f>
        <v/>
      </c>
      <c r="Y24" s="100">
        <f>SUM(Y18:Y23)</f>
        <v/>
      </c>
      <c r="Z24" s="100">
        <f>SUM(Z18:Z23)</f>
        <v/>
      </c>
      <c r="AA24" s="100">
        <f>SUM(C24:Z24)</f>
        <v/>
      </c>
    </row>
    <row r="25">
      <c r="B25" s="101" t="inlineStr">
        <is>
          <t>TRÉSORERIE FIN DE MOIS</t>
        </is>
      </c>
      <c r="C25" s="102">
        <f>C24</f>
        <v/>
      </c>
      <c r="D25" s="102">
        <f>C25+D24</f>
        <v/>
      </c>
      <c r="E25" s="102">
        <f>D25+E24</f>
        <v/>
      </c>
      <c r="F25" s="102">
        <f>E25+F24</f>
        <v/>
      </c>
      <c r="G25" s="102">
        <f>F25+G24</f>
        <v/>
      </c>
      <c r="H25" s="102">
        <f>G25+H24</f>
        <v/>
      </c>
      <c r="I25" s="102">
        <f>H25+I24</f>
        <v/>
      </c>
      <c r="J25" s="102">
        <f>I25+J24</f>
        <v/>
      </c>
      <c r="K25" s="102">
        <f>J25+K24</f>
        <v/>
      </c>
      <c r="L25" s="102">
        <f>K25+L24</f>
        <v/>
      </c>
      <c r="M25" s="102">
        <f>L25+M24</f>
        <v/>
      </c>
      <c r="N25" s="102">
        <f>M25+N24</f>
        <v/>
      </c>
      <c r="O25" s="102">
        <f>N25+O24</f>
        <v/>
      </c>
      <c r="P25" s="102">
        <f>O25+P24</f>
        <v/>
      </c>
      <c r="Q25" s="102">
        <f>P25+Q24</f>
        <v/>
      </c>
      <c r="R25" s="102">
        <f>Q25+R24</f>
        <v/>
      </c>
      <c r="S25" s="102">
        <f>R25+S24</f>
        <v/>
      </c>
      <c r="T25" s="102">
        <f>S25+T24</f>
        <v/>
      </c>
      <c r="U25" s="102">
        <f>T25+U24</f>
        <v/>
      </c>
      <c r="V25" s="102">
        <f>U25+V24</f>
        <v/>
      </c>
      <c r="W25" s="102">
        <f>V25+W24</f>
        <v/>
      </c>
      <c r="X25" s="102">
        <f>W25+X24</f>
        <v/>
      </c>
      <c r="Y25" s="102">
        <f>X25+Y24</f>
        <v/>
      </c>
      <c r="Z25" s="102">
        <f>Y25+Z24</f>
        <v/>
      </c>
      <c r="AA25" s="103" t="n"/>
    </row>
    <row r="27">
      <c r="B27" s="90" t="inlineStr">
        <is>
          <t>Synthèse</t>
        </is>
      </c>
    </row>
    <row r="28">
      <c r="B28" s="105" t="inlineStr">
        <is>
          <t>Point bas de trésorerie : +1 398 k à M4 — la caisse ne passe JAMAIS sous zéro  sans tranche 2.</t>
        </is>
      </c>
    </row>
    <row r="29">
      <c r="B29" s="104" t="inlineStr">
        <is>
          <t>Trésorerie fin M12 : +3 908 k · fin M24 : +36 668 k.</t>
        </is>
      </c>
    </row>
    <row r="30">
      <c r="B30" s="104" t="inlineStr">
        <is>
          <t>OPEX an 1 : 5 332 k (vs 10 692 k en lean 5M) · CAPEX an 1 : 3 650 k (vs 4 725 k).</t>
        </is>
      </c>
    </row>
    <row r="31">
      <c r="B31" s="104" t="inlineStr">
        <is>
          <t>Bonus gouvernance : capital 20 M IP + 3 M numéraire = 23 M → part fondateur 87 %. Ticket investisseur 1 M = 4,3 % du capital.</t>
        </is>
      </c>
    </row>
    <row r="32">
      <c r="B32" s="105" t="inlineStr">
        <is>
          <t>CONDITIONS DE SURVIE : le fondateur porte seul secrétariat + support + juridique pendant 6 mois, et la flotte doit suivre la montée prévue (3 véh à M3, 10 à M6). Si l'onboarding glisse de 2 mois, prévoir soit un apport complémentaire, soit décaler bureau/salarié d'autant.</t>
        </is>
      </c>
    </row>
    <row r="33">
      <c r="B33" s="104" t="inlineStr">
        <is>
          <t>Sensibilité : recettes −30 % sur l'an 1 → point bas ≈ +400 k à M7 — ça passe encore, de justesse. Recettes −50 % → négatif à M7 : liste d'attente de secours (apport, prêt court) à prévoir.</t>
        </is>
      </c>
    </row>
  </sheetData>
  <mergeCells count="18">
    <mergeCell ref="B10:AA10"/>
    <mergeCell ref="B28:AA28"/>
    <mergeCell ref="B31:AA31"/>
    <mergeCell ref="B8:AA8"/>
    <mergeCell ref="B14:AA14"/>
    <mergeCell ref="B32:AA32"/>
    <mergeCell ref="B9:AA9"/>
    <mergeCell ref="B13:AA13"/>
    <mergeCell ref="B27:AA27"/>
    <mergeCell ref="B7:AA7"/>
    <mergeCell ref="B12:AA12"/>
    <mergeCell ref="B6:AA6"/>
    <mergeCell ref="B30:AA30"/>
    <mergeCell ref="B29:AA29"/>
    <mergeCell ref="B15:AA15"/>
    <mergeCell ref="B33:AA33"/>
    <mergeCell ref="B11:AA11"/>
    <mergeCell ref="B5:AA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44" customWidth="1" min="5" max="5"/>
  </cols>
  <sheetData>
    <row r="2" ht="22" customHeight="1">
      <c r="B2" s="88" t="inlineStr">
        <is>
          <t>Autorisations ANATT — relevé terrain (2026-07-24)</t>
        </is>
      </c>
    </row>
    <row r="3">
      <c r="B3" s="89" t="inlineStr">
        <is>
          <t>Valeurs en FCFA. Onglet autonome — ne modifie pas les autres onglets.</t>
        </is>
      </c>
    </row>
    <row r="5">
      <c r="B5" s="107" t="inlineStr">
        <is>
          <t>A · Frais de constitution / première autorisation (one-time, M1-M3)</t>
        </is>
      </c>
      <c r="C5" s="108" t="n"/>
      <c r="D5" s="108" t="n"/>
      <c r="E5" s="108" t="n"/>
    </row>
    <row r="6">
      <c r="B6" s="109" t="inlineStr">
        <is>
          <t>Poste</t>
        </is>
      </c>
      <c r="C6" s="109" t="inlineStr"/>
      <c r="D6" s="109" t="inlineStr">
        <is>
          <t>Montant</t>
        </is>
      </c>
      <c r="E6" s="109" t="inlineStr">
        <is>
          <t>Note</t>
        </is>
      </c>
    </row>
    <row r="7">
      <c r="B7" s="110" t="inlineStr">
        <is>
          <t>Casier judiciaire + certificat de nationalité</t>
        </is>
      </c>
      <c r="C7" s="103" t="n"/>
      <c r="D7" s="111" t="n">
        <v>6000</v>
      </c>
      <c r="E7" s="112" t="inlineStr">
        <is>
          <t>Une fois</t>
        </is>
      </c>
    </row>
    <row r="8">
      <c r="B8" s="110" t="inlineStr">
        <is>
          <t>Déclaration d'existence</t>
        </is>
      </c>
      <c r="C8" s="103" t="n"/>
      <c r="D8" s="111" t="n">
        <v>10000</v>
      </c>
      <c r="E8" s="112" t="inlineStr">
        <is>
          <t>Une fois</t>
        </is>
      </c>
    </row>
    <row r="9">
      <c r="B9" s="110" t="inlineStr">
        <is>
          <t>Autorisation transporteur + inscription registre national</t>
        </is>
      </c>
      <c r="C9" s="103" t="n"/>
      <c r="D9" s="111" t="n">
        <v>280000</v>
      </c>
      <c r="E9" s="112" t="inlineStr">
        <is>
          <t>⚠️ RENOUVELABLE CHAQUE ANNÉE (voir bloc B)</t>
        </is>
      </c>
    </row>
    <row r="10">
      <c r="B10" s="110" t="inlineStr">
        <is>
          <t>Attestation fiscale — CCIB 20k + ORTB 4k + Follow 50k + Main d'œuvre 70k</t>
        </is>
      </c>
      <c r="C10" s="103" t="n"/>
      <c r="D10" s="111" t="n">
        <v>144000</v>
      </c>
      <c r="E10" s="112" t="inlineStr">
        <is>
          <t>À renouveler chaque année</t>
        </is>
      </c>
    </row>
    <row r="11">
      <c r="B11" s="110" t="inlineStr">
        <is>
          <t>Acompte IS (minimum de perception)</t>
        </is>
      </c>
      <c r="C11" s="103" t="n"/>
      <c r="D11" s="111" t="n">
        <v>62500</v>
      </c>
      <c r="E11" s="112" t="inlineStr">
        <is>
          <t>Label startup mis de côté → IS dû. ~250k/an au total (min. perception)</t>
        </is>
      </c>
    </row>
    <row r="12">
      <c r="B12" s="110" t="inlineStr">
        <is>
          <t>IRF — 12 % du loyer (à charge TamCar, décision Terence)</t>
        </is>
      </c>
      <c r="C12" s="103" t="n"/>
      <c r="D12" s="111" t="n">
        <v>144000</v>
      </c>
      <c r="E12" s="112" t="inlineStr">
        <is>
          <t>Hypothèse loyer 1,2 M/an × 12 %. À confirmer annuel/mensuel</t>
        </is>
      </c>
    </row>
    <row r="13">
      <c r="B13" s="113" t="inlineStr">
        <is>
          <t>Sous-total constitution</t>
        </is>
      </c>
      <c r="C13" s="114" t="n"/>
      <c r="D13" s="115">
        <f>SUM(D7:D12)</f>
        <v/>
      </c>
      <c r="E13" s="114" t="n"/>
    </row>
    <row r="15">
      <c r="B15" s="107" t="inlineStr">
        <is>
          <t>B · Charges récurrentes annuelles (dès année 2, renouvellements)</t>
        </is>
      </c>
      <c r="C15" s="108" t="n"/>
      <c r="D15" s="108" t="n"/>
      <c r="E15" s="108" t="n"/>
    </row>
    <row r="16">
      <c r="B16" s="109" t="inlineStr">
        <is>
          <t>Poste</t>
        </is>
      </c>
      <c r="C16" s="109" t="inlineStr"/>
      <c r="D16" s="109" t="inlineStr">
        <is>
          <t>Montant/an</t>
        </is>
      </c>
      <c r="E16" s="109" t="inlineStr">
        <is>
          <t>Note</t>
        </is>
      </c>
    </row>
    <row r="17">
      <c r="B17" s="110" t="inlineStr">
        <is>
          <t>Renouvellement autorisation transporteur</t>
        </is>
      </c>
      <c r="C17" s="103" t="n"/>
      <c r="D17" s="111" t="n">
        <v>280000</v>
      </c>
      <c r="E17" s="112" t="inlineStr">
        <is>
          <t>Chaque année</t>
        </is>
      </c>
    </row>
    <row r="18">
      <c r="B18" s="110" t="inlineStr">
        <is>
          <t>Renouvellement attestation fiscale</t>
        </is>
      </c>
      <c r="C18" s="103" t="n"/>
      <c r="D18" s="111" t="n">
        <v>144000</v>
      </c>
      <c r="E18" s="112" t="inlineStr">
        <is>
          <t>CCIB + ORTB + Follow + Main d'œuvre</t>
        </is>
      </c>
    </row>
    <row r="19">
      <c r="B19" s="110" t="inlineStr">
        <is>
          <t>IRF annuel (12 % loyer)</t>
        </is>
      </c>
      <c r="C19" s="103" t="n"/>
      <c r="D19" s="111" t="n">
        <v>144000</v>
      </c>
      <c r="E19" s="112" t="inlineStr">
        <is>
          <t>À charge TamCar</t>
        </is>
      </c>
    </row>
    <row r="20">
      <c r="B20" s="110" t="inlineStr">
        <is>
          <t>Minimum IS (acomptes)</t>
        </is>
      </c>
      <c r="C20" s="103" t="n"/>
      <c r="D20" s="111" t="n">
        <v>250000</v>
      </c>
      <c r="E20" s="112" t="inlineStr">
        <is>
          <t>~250k/an tant que déficitaire (min. perception)</t>
        </is>
      </c>
    </row>
    <row r="21">
      <c r="B21" s="113" t="inlineStr">
        <is>
          <t>Sous-total annuel</t>
        </is>
      </c>
      <c r="C21" s="114" t="n"/>
      <c r="D21" s="115">
        <f>SUM(D17:D20)</f>
        <v/>
      </c>
      <c r="E21" s="114" t="n"/>
    </row>
    <row r="23">
      <c r="B23" s="107" t="inlineStr">
        <is>
          <t>C · Par véhicule</t>
        </is>
      </c>
      <c r="C23" s="108" t="n"/>
      <c r="D23" s="108" t="n"/>
      <c r="E23" s="108" t="n"/>
    </row>
    <row r="24">
      <c r="B24" s="109" t="inlineStr">
        <is>
          <t>Poste</t>
        </is>
      </c>
      <c r="C24" s="109" t="inlineStr"/>
      <c r="D24" s="109" t="inlineStr">
        <is>
          <t>Montant</t>
        </is>
      </c>
      <c r="E24" s="109" t="inlineStr">
        <is>
          <t>Qui paie</t>
        </is>
      </c>
    </row>
    <row r="25">
      <c r="B25" s="110" t="inlineStr">
        <is>
          <t>Carte d'autorisation de transport / véhicule</t>
        </is>
      </c>
      <c r="C25" s="103" t="n"/>
      <c r="D25" s="111" t="n">
        <v>3000</v>
      </c>
      <c r="E25" s="112" t="inlineStr">
        <is>
          <t>TamCar (ou refacturé concess) — pièces fournies par concess</t>
        </is>
      </c>
    </row>
    <row r="26">
      <c r="B26" s="110" t="inlineStr">
        <is>
          <t>Tracker GPS ANATT — voiture 196k / moto 139k / tricycle 139k (an 1)</t>
        </is>
      </c>
      <c r="C26" s="103" t="n"/>
      <c r="D26" s="116" t="n">
        <v>0</v>
      </c>
      <c r="E26" s="112" t="inlineStr">
        <is>
          <t>CONCESSIONNAIRE — en option, à ses risques. HORS budget TamCar</t>
        </is>
      </c>
    </row>
    <row r="28">
      <c r="B28" s="117" t="inlineStr">
        <is>
          <t>D · Impact sur le scénario ultra-lean 3M</t>
        </is>
      </c>
      <c r="C28" s="118" t="n"/>
      <c r="D28" s="118" t="n"/>
      <c r="E28" s="118" t="n"/>
    </row>
    <row r="30">
      <c r="B30" s="119" t="inlineStr">
        <is>
          <t>Le scénario 3M budgétait déjà ANATT à 300 000. Le coût réel constitution (bloc A) ≈ 646 500.</t>
        </is>
      </c>
    </row>
    <row r="31">
      <c r="B31" s="119" t="inlineStr">
        <is>
          <t>→ Surcoût an 1 vs budget : ~346 500 FCFA. Nouveau point bas trésorerie ≈ +1 050 k à M4 (était +1 398 k) — RESTE POSITIF, viable.</t>
        </is>
      </c>
    </row>
    <row r="32">
      <c r="B32" s="119" t="inlineStr">
        <is>
          <t>En année 2, +818 000 de charges récurrentes ANATT (bloc B) s'ajoutent à l'OPEX An 2. La trésorerie fin An 2 reste largement positive (&gt;30 M dans la projection).</t>
        </is>
      </c>
    </row>
    <row r="33">
      <c r="B33" s="119" t="inlineStr">
        <is>
          <t>Trackers GPS ANATT : sortis du budget TamCar (charge concessionnaire, en option). Économie ~2 M an 1 vs l'hypothèse où TamCar les aurait payés.</t>
        </is>
      </c>
    </row>
    <row r="34">
      <c r="B34" s="119" t="inlineStr">
        <is>
          <t>À faire confirmer par l'expert-comptable : IRF (annuel vs mensuel), périodicité exacte du renouvellement, minimum IS applicable.</t>
        </is>
      </c>
    </row>
  </sheetData>
  <mergeCells count="5">
    <mergeCell ref="B31:E31"/>
    <mergeCell ref="B30:E30"/>
    <mergeCell ref="B33:E33"/>
    <mergeCell ref="B34:E34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2026-07-22T01:11:38Z</dcterms:created>
  <dcterms:modified xmlns:dcterms="http://purl.org/dc/terms/" xmlns:xsi="http://www.w3.org/2001/XMLSchema-instance" xsi:type="dcterms:W3CDTF">2026-07-24T14:23:25Z</dcterms:modified>
  <cp:lastModifiedBy>PC</cp:lastModifiedBy>
</cp:coreProperties>
</file>