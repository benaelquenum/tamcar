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RENCE\TamCar\App\"/>
    </mc:Choice>
  </mc:AlternateContent>
  <bookViews>
    <workbookView xWindow="0" yWindow="0" windowWidth="19368" windowHeight="9072"/>
  </bookViews>
  <sheets>
    <sheet name="Résumé" sheetId="1" r:id="rId1"/>
    <sheet name="Seuils" sheetId="2" r:id="rId2"/>
    <sheet name="Décisions v2" sheetId="3" r:id="rId3"/>
    <sheet name="Hypothèses" sheetId="4" r:id="rId4"/>
    <sheet name="Démarrage" sheetId="5" r:id="rId5"/>
    <sheet name="Recettes" sheetId="6" r:id="rId6"/>
    <sheet name="Charges" sheetId="7" r:id="rId7"/>
    <sheet name="Marge" sheetId="8" r:id="rId8"/>
    <sheet name="Résultat" sheetId="9" r:id="rId9"/>
    <sheet name="Mensuel" sheetId="10" r:id="rId10"/>
    <sheet name="Synthèse" sheetId="11" r:id="rId11"/>
  </sheets>
  <calcPr calcId="162913"/>
</workbook>
</file>

<file path=xl/calcChain.xml><?xml version="1.0" encoding="utf-8"?>
<calcChain xmlns="http://schemas.openxmlformats.org/spreadsheetml/2006/main">
  <c r="B63" i="11" l="1"/>
  <c r="G105" i="10"/>
  <c r="B105" i="10" s="1"/>
  <c r="G104" i="10"/>
  <c r="B104" i="10"/>
  <c r="G103" i="10"/>
  <c r="G102" i="10"/>
  <c r="B102" i="10" s="1"/>
  <c r="G101" i="10"/>
  <c r="B101" i="10" s="1"/>
  <c r="G100" i="10"/>
  <c r="B100" i="10" s="1"/>
  <c r="G99" i="10"/>
  <c r="B99" i="10" s="1"/>
  <c r="G98" i="10"/>
  <c r="B98" i="10" s="1"/>
  <c r="G95" i="10"/>
  <c r="B95" i="10" s="1"/>
  <c r="G94" i="10"/>
  <c r="B94" i="10"/>
  <c r="G93" i="10"/>
  <c r="B93" i="10"/>
  <c r="G92" i="10"/>
  <c r="G91" i="10"/>
  <c r="B91" i="10"/>
  <c r="AQ90" i="10"/>
  <c r="AP90" i="10"/>
  <c r="AO90" i="10"/>
  <c r="AN90" i="10"/>
  <c r="AN95" i="10" s="1"/>
  <c r="AM90" i="10"/>
  <c r="AL90" i="10"/>
  <c r="AK90" i="10"/>
  <c r="AJ90" i="10"/>
  <c r="AI90" i="10"/>
  <c r="AH90" i="10"/>
  <c r="AG90" i="10"/>
  <c r="AF90" i="10"/>
  <c r="AG95" i="10" s="1"/>
  <c r="AE90" i="10"/>
  <c r="AD90" i="10"/>
  <c r="AD103" i="10" s="1"/>
  <c r="AC90" i="10"/>
  <c r="AB90" i="10"/>
  <c r="AA90" i="10"/>
  <c r="Z90" i="10"/>
  <c r="Y90" i="10"/>
  <c r="X90" i="10"/>
  <c r="X95" i="10" s="1"/>
  <c r="W90" i="10"/>
  <c r="V90" i="10"/>
  <c r="U90" i="10"/>
  <c r="U103" i="10" s="1"/>
  <c r="T90" i="10"/>
  <c r="S90" i="10"/>
  <c r="R90" i="10"/>
  <c r="Q90" i="10"/>
  <c r="P90" i="10"/>
  <c r="Q95" i="10" s="1"/>
  <c r="O90" i="10"/>
  <c r="O95" i="10" s="1"/>
  <c r="N90" i="10"/>
  <c r="M90" i="10"/>
  <c r="L90" i="10"/>
  <c r="K90" i="10"/>
  <c r="J90" i="10"/>
  <c r="I90" i="10"/>
  <c r="H90" i="10"/>
  <c r="C90" i="10" s="1"/>
  <c r="G90" i="10"/>
  <c r="D90" i="10"/>
  <c r="B90" i="10"/>
  <c r="AQ89" i="10"/>
  <c r="AQ104" i="10" s="1"/>
  <c r="AP89" i="10"/>
  <c r="AO89" i="10"/>
  <c r="AN89" i="10"/>
  <c r="AM89" i="10"/>
  <c r="AL89" i="10"/>
  <c r="AK89" i="10"/>
  <c r="AJ89" i="10"/>
  <c r="AI89" i="10"/>
  <c r="AH89" i="10"/>
  <c r="AG89" i="10"/>
  <c r="AF89" i="10"/>
  <c r="AE89" i="10"/>
  <c r="AD89" i="10"/>
  <c r="AC89" i="10"/>
  <c r="AB89" i="10"/>
  <c r="AA89" i="10"/>
  <c r="Z89" i="10"/>
  <c r="Y89" i="10"/>
  <c r="Y94" i="10" s="1"/>
  <c r="X89" i="10"/>
  <c r="W89" i="10"/>
  <c r="V89" i="10"/>
  <c r="U89" i="10"/>
  <c r="T89" i="10"/>
  <c r="S89" i="10"/>
  <c r="R89" i="10"/>
  <c r="Q89" i="10"/>
  <c r="P89" i="10"/>
  <c r="O89" i="10"/>
  <c r="N89" i="10"/>
  <c r="M89" i="10"/>
  <c r="L89" i="10"/>
  <c r="K89" i="10"/>
  <c r="K94" i="10" s="1"/>
  <c r="J89" i="10"/>
  <c r="I89" i="10"/>
  <c r="H89" i="10"/>
  <c r="G89" i="10"/>
  <c r="B89" i="10" s="1"/>
  <c r="AQ88" i="10"/>
  <c r="AQ93" i="10" s="1"/>
  <c r="AQ83" i="10" s="1"/>
  <c r="AP88" i="10"/>
  <c r="AO88" i="10"/>
  <c r="AO101" i="10" s="1"/>
  <c r="AN88" i="10"/>
  <c r="AM88" i="10"/>
  <c r="AL88" i="10"/>
  <c r="AK88" i="10"/>
  <c r="AL93" i="10" s="1"/>
  <c r="AL83" i="10" s="1"/>
  <c r="AJ88" i="10"/>
  <c r="AI88" i="10"/>
  <c r="AI93" i="10" s="1"/>
  <c r="AI83" i="10" s="1"/>
  <c r="AH88" i="10"/>
  <c r="AG88" i="10"/>
  <c r="AG93" i="10" s="1"/>
  <c r="AF88" i="10"/>
  <c r="AE88" i="10"/>
  <c r="AF93" i="10" s="1"/>
  <c r="AD88" i="10"/>
  <c r="AC88" i="10"/>
  <c r="AB88" i="10"/>
  <c r="AA88" i="10"/>
  <c r="AA93" i="10" s="1"/>
  <c r="AA83" i="10" s="1"/>
  <c r="Z88" i="10"/>
  <c r="Y88" i="10"/>
  <c r="X88" i="10"/>
  <c r="W88" i="10"/>
  <c r="V88" i="10"/>
  <c r="V93" i="10" s="1"/>
  <c r="V83" i="10" s="1"/>
  <c r="U88" i="10"/>
  <c r="T88" i="10"/>
  <c r="S88" i="10"/>
  <c r="S93" i="10" s="1"/>
  <c r="S83" i="10" s="1"/>
  <c r="R88" i="10"/>
  <c r="Q88" i="10"/>
  <c r="P88" i="10"/>
  <c r="O88" i="10"/>
  <c r="N88" i="10"/>
  <c r="N93" i="10" s="1"/>
  <c r="N83" i="10" s="1"/>
  <c r="M88" i="10"/>
  <c r="L88" i="10"/>
  <c r="K88" i="10"/>
  <c r="K93" i="10" s="1"/>
  <c r="K83" i="10" s="1"/>
  <c r="J88" i="10"/>
  <c r="I88" i="10"/>
  <c r="H88" i="10"/>
  <c r="G88" i="10"/>
  <c r="B88" i="10" s="1"/>
  <c r="AQ87" i="10"/>
  <c r="AQ100" i="10" s="1"/>
  <c r="AP87" i="10"/>
  <c r="AO87" i="10"/>
  <c r="AN87" i="10"/>
  <c r="AN100" i="10" s="1"/>
  <c r="AM87" i="10"/>
  <c r="AM92" i="10" s="1"/>
  <c r="AM82" i="10" s="1"/>
  <c r="AL87" i="10"/>
  <c r="AL100" i="10" s="1"/>
  <c r="AK87" i="10"/>
  <c r="AJ87" i="10"/>
  <c r="AI87" i="10"/>
  <c r="AH87" i="10"/>
  <c r="AG87" i="10"/>
  <c r="AF87" i="10"/>
  <c r="AF100" i="10" s="1"/>
  <c r="AE87" i="10"/>
  <c r="AE92" i="10" s="1"/>
  <c r="AE82" i="10" s="1"/>
  <c r="AD87" i="10"/>
  <c r="AD100" i="10" s="1"/>
  <c r="AC87" i="10"/>
  <c r="AB87" i="10"/>
  <c r="AA87" i="10"/>
  <c r="Z87" i="10"/>
  <c r="Z91" i="10" s="1"/>
  <c r="Y87" i="10"/>
  <c r="X87" i="10"/>
  <c r="X100" i="10" s="1"/>
  <c r="W87" i="10"/>
  <c r="V87" i="10"/>
  <c r="V100" i="10" s="1"/>
  <c r="U87" i="10"/>
  <c r="T87" i="10"/>
  <c r="T92" i="10" s="1"/>
  <c r="S87" i="10"/>
  <c r="R87" i="10"/>
  <c r="Q87" i="10"/>
  <c r="P87" i="10"/>
  <c r="P100" i="10" s="1"/>
  <c r="O87" i="10"/>
  <c r="O92" i="10" s="1"/>
  <c r="O82" i="10" s="1"/>
  <c r="N87" i="10"/>
  <c r="M87" i="10"/>
  <c r="L87" i="10"/>
  <c r="L92" i="10" s="1"/>
  <c r="K87" i="10"/>
  <c r="J87" i="10"/>
  <c r="J92" i="10" s="1"/>
  <c r="I87" i="10"/>
  <c r="H87" i="10"/>
  <c r="H100" i="10" s="1"/>
  <c r="G87" i="10"/>
  <c r="B87" i="10"/>
  <c r="AG83" i="10"/>
  <c r="G83" i="10"/>
  <c r="B83" i="10"/>
  <c r="G82" i="10"/>
  <c r="B82" i="10" s="1"/>
  <c r="AP77" i="10"/>
  <c r="S77" i="10"/>
  <c r="AQ76" i="10"/>
  <c r="AP76" i="10"/>
  <c r="AO76" i="10"/>
  <c r="AN76" i="10"/>
  <c r="AM76" i="10"/>
  <c r="AL76" i="10"/>
  <c r="AK76" i="10"/>
  <c r="AJ76" i="10"/>
  <c r="AI76" i="10"/>
  <c r="AH76" i="10"/>
  <c r="AG76" i="10"/>
  <c r="AF76" i="10"/>
  <c r="AE76" i="10"/>
  <c r="AD76" i="10"/>
  <c r="AC76" i="10"/>
  <c r="AB76" i="10"/>
  <c r="AA76" i="10"/>
  <c r="Z76" i="10"/>
  <c r="Z77" i="10" s="1"/>
  <c r="Y76" i="10"/>
  <c r="X76" i="10"/>
  <c r="W76" i="10"/>
  <c r="V76" i="10"/>
  <c r="U76" i="10"/>
  <c r="T76" i="10"/>
  <c r="S76" i="10"/>
  <c r="R76" i="10"/>
  <c r="R77" i="10" s="1"/>
  <c r="Q76" i="10"/>
  <c r="P76" i="10"/>
  <c r="O76" i="10"/>
  <c r="N76" i="10"/>
  <c r="M76" i="10"/>
  <c r="L76" i="10"/>
  <c r="K76" i="10"/>
  <c r="J76" i="10"/>
  <c r="J77" i="10" s="1"/>
  <c r="I76" i="10"/>
  <c r="H76" i="10"/>
  <c r="G76" i="10"/>
  <c r="B76" i="10" s="1"/>
  <c r="AQ75" i="10"/>
  <c r="AQ77" i="10" s="1"/>
  <c r="AP75" i="10"/>
  <c r="AO75" i="10"/>
  <c r="AO77" i="10" s="1"/>
  <c r="AN75" i="10"/>
  <c r="AM75" i="10"/>
  <c r="AM77" i="10" s="1"/>
  <c r="AL75" i="10"/>
  <c r="AK75" i="10"/>
  <c r="AK77" i="10" s="1"/>
  <c r="AJ75" i="10"/>
  <c r="AI75" i="10"/>
  <c r="AI77" i="10" s="1"/>
  <c r="AH75" i="10"/>
  <c r="AH77" i="10" s="1"/>
  <c r="AG75" i="10"/>
  <c r="AF75" i="10"/>
  <c r="AE75" i="10"/>
  <c r="AE77" i="10" s="1"/>
  <c r="AD75" i="10"/>
  <c r="AC75" i="10"/>
  <c r="AC77" i="10" s="1"/>
  <c r="AB75" i="10"/>
  <c r="AA75" i="10"/>
  <c r="AA77" i="10" s="1"/>
  <c r="Z75" i="10"/>
  <c r="Y75" i="10"/>
  <c r="Y77" i="10" s="1"/>
  <c r="X75" i="10"/>
  <c r="W75" i="10"/>
  <c r="W77" i="10" s="1"/>
  <c r="V75" i="10"/>
  <c r="U75" i="10"/>
  <c r="U77" i="10" s="1"/>
  <c r="T75" i="10"/>
  <c r="S75" i="10"/>
  <c r="R75" i="10"/>
  <c r="Q75" i="10"/>
  <c r="Q77" i="10" s="1"/>
  <c r="P75" i="10"/>
  <c r="O75" i="10"/>
  <c r="O77" i="10" s="1"/>
  <c r="N75" i="10"/>
  <c r="M75" i="10"/>
  <c r="M77" i="10" s="1"/>
  <c r="L75" i="10"/>
  <c r="K75" i="10"/>
  <c r="K77" i="10" s="1"/>
  <c r="J75" i="10"/>
  <c r="I75" i="10"/>
  <c r="H75" i="10"/>
  <c r="G75" i="10"/>
  <c r="AQ74" i="10"/>
  <c r="AP74" i="10"/>
  <c r="AO74" i="10"/>
  <c r="AN74" i="10"/>
  <c r="AM74" i="10"/>
  <c r="AL74" i="10"/>
  <c r="AK74" i="10"/>
  <c r="AJ74" i="10"/>
  <c r="AI74" i="10"/>
  <c r="AH74" i="10"/>
  <c r="AG74" i="10"/>
  <c r="AF74" i="10"/>
  <c r="AE74" i="10"/>
  <c r="AD74" i="10"/>
  <c r="AC74" i="10"/>
  <c r="AB74" i="10"/>
  <c r="AA74" i="10"/>
  <c r="Z74" i="10"/>
  <c r="Y74" i="10"/>
  <c r="X74" i="10"/>
  <c r="W74" i="10"/>
  <c r="V74" i="10"/>
  <c r="U74" i="10"/>
  <c r="T74" i="10"/>
  <c r="S74" i="10"/>
  <c r="R74" i="10"/>
  <c r="Q74" i="10"/>
  <c r="P74" i="10"/>
  <c r="O74" i="10"/>
  <c r="N74" i="10"/>
  <c r="M74" i="10"/>
  <c r="L74" i="10"/>
  <c r="K74" i="10"/>
  <c r="J74" i="10"/>
  <c r="I74" i="10"/>
  <c r="H74" i="10"/>
  <c r="C74" i="10" s="1"/>
  <c r="G74" i="10"/>
  <c r="B74" i="10" s="1"/>
  <c r="AQ72" i="10"/>
  <c r="AP72" i="10"/>
  <c r="AO72" i="10"/>
  <c r="AN72" i="10"/>
  <c r="AM72" i="10"/>
  <c r="AL72" i="10"/>
  <c r="AK72" i="10"/>
  <c r="AJ72" i="10"/>
  <c r="AI72" i="10"/>
  <c r="AH72" i="10"/>
  <c r="AG72" i="10"/>
  <c r="AF72" i="10"/>
  <c r="AE72" i="10"/>
  <c r="AD72" i="10"/>
  <c r="AC72" i="10"/>
  <c r="AB72" i="10"/>
  <c r="AA72" i="10"/>
  <c r="Z72" i="10"/>
  <c r="Y72" i="10"/>
  <c r="X72" i="10"/>
  <c r="W72" i="10"/>
  <c r="D72" i="10" s="1"/>
  <c r="V72" i="10"/>
  <c r="U72" i="10"/>
  <c r="T72" i="10"/>
  <c r="S72" i="10"/>
  <c r="R72" i="10"/>
  <c r="Q72" i="10"/>
  <c r="P72" i="10"/>
  <c r="O72" i="10"/>
  <c r="N72" i="10"/>
  <c r="M72" i="10"/>
  <c r="L72" i="10"/>
  <c r="K72" i="10"/>
  <c r="J72" i="10"/>
  <c r="I72" i="10"/>
  <c r="H72" i="10"/>
  <c r="G72" i="10"/>
  <c r="B72" i="10" s="1"/>
  <c r="B53" i="7" s="1"/>
  <c r="G62" i="10"/>
  <c r="B62" i="10"/>
  <c r="B54" i="11" s="1"/>
  <c r="B61" i="10"/>
  <c r="B53" i="11" s="1"/>
  <c r="B60" i="10"/>
  <c r="B52" i="11" s="1"/>
  <c r="B59" i="10"/>
  <c r="B51" i="11" s="1"/>
  <c r="B58" i="10"/>
  <c r="B50" i="11" s="1"/>
  <c r="AQ51" i="10"/>
  <c r="AP51" i="10"/>
  <c r="AO51" i="10"/>
  <c r="AN51" i="10"/>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G51" i="10"/>
  <c r="B51" i="10" s="1"/>
  <c r="B44" i="7" s="1"/>
  <c r="AQ49" i="10"/>
  <c r="AP49" i="10"/>
  <c r="AO49" i="10"/>
  <c r="AN49" i="10"/>
  <c r="AM49" i="10"/>
  <c r="AL49" i="10"/>
  <c r="AK49" i="10"/>
  <c r="AJ49" i="10"/>
  <c r="AI49" i="10"/>
  <c r="AH49" i="10"/>
  <c r="AG49" i="10"/>
  <c r="AF49" i="10"/>
  <c r="AE49" i="10"/>
  <c r="AD49" i="10"/>
  <c r="AC49" i="10"/>
  <c r="AB49" i="10"/>
  <c r="AA49" i="10"/>
  <c r="Z49" i="10"/>
  <c r="Y49" i="10"/>
  <c r="X49" i="10"/>
  <c r="W49" i="10"/>
  <c r="V49" i="10"/>
  <c r="U49" i="10"/>
  <c r="T49" i="10"/>
  <c r="S49" i="10"/>
  <c r="R49" i="10"/>
  <c r="Q49" i="10"/>
  <c r="P49" i="10"/>
  <c r="O49" i="10"/>
  <c r="N49" i="10"/>
  <c r="M49" i="10"/>
  <c r="L49" i="10"/>
  <c r="K49" i="10"/>
  <c r="J49" i="10"/>
  <c r="I49" i="10"/>
  <c r="G49" i="10"/>
  <c r="B49" i="10" s="1"/>
  <c r="B42" i="7" s="1"/>
  <c r="AQ44" i="10"/>
  <c r="AP44" i="10"/>
  <c r="AO44" i="10"/>
  <c r="AN44" i="10"/>
  <c r="AM44" i="10"/>
  <c r="AL44" i="10"/>
  <c r="AK44" i="10"/>
  <c r="AJ44" i="10"/>
  <c r="AI44" i="10"/>
  <c r="AH44" i="10"/>
  <c r="AG44" i="10"/>
  <c r="AF44" i="10"/>
  <c r="AE44" i="10"/>
  <c r="AD44" i="10"/>
  <c r="AC44" i="10"/>
  <c r="AB44" i="10"/>
  <c r="AA44" i="10"/>
  <c r="Z44" i="10"/>
  <c r="Y44" i="10"/>
  <c r="X44" i="10"/>
  <c r="W44" i="10"/>
  <c r="V44" i="10"/>
  <c r="U44" i="10"/>
  <c r="T44" i="10"/>
  <c r="S44" i="10"/>
  <c r="R44" i="10"/>
  <c r="Q44" i="10"/>
  <c r="P44" i="10"/>
  <c r="O44" i="10"/>
  <c r="N44" i="10"/>
  <c r="M44" i="10"/>
  <c r="L44" i="10"/>
  <c r="K44" i="10"/>
  <c r="J44" i="10"/>
  <c r="I44" i="10"/>
  <c r="G44" i="10"/>
  <c r="B44" i="10" s="1"/>
  <c r="B37" i="7" s="1"/>
  <c r="AQ42" i="10"/>
  <c r="AP42" i="10"/>
  <c r="AO42" i="10"/>
  <c r="AN42" i="10"/>
  <c r="AM42" i="10"/>
  <c r="AL42" i="10"/>
  <c r="AK42" i="10"/>
  <c r="AJ42" i="10"/>
  <c r="AI42" i="10"/>
  <c r="AH42" i="10"/>
  <c r="AG42" i="10"/>
  <c r="AF42" i="10"/>
  <c r="AE42" i="10"/>
  <c r="AD42" i="10"/>
  <c r="AC42" i="10"/>
  <c r="AB42" i="10"/>
  <c r="AA42" i="10"/>
  <c r="Z42" i="10"/>
  <c r="Y42" i="10"/>
  <c r="X42" i="10"/>
  <c r="W42" i="10"/>
  <c r="V42" i="10"/>
  <c r="U42" i="10"/>
  <c r="T42" i="10"/>
  <c r="S42" i="10"/>
  <c r="R42" i="10"/>
  <c r="Q42" i="10"/>
  <c r="P42" i="10"/>
  <c r="O42" i="10"/>
  <c r="N42" i="10"/>
  <c r="M42" i="10"/>
  <c r="L42" i="10"/>
  <c r="K42" i="10"/>
  <c r="J42" i="10"/>
  <c r="I42" i="10"/>
  <c r="G42" i="10"/>
  <c r="B42" i="10"/>
  <c r="B35" i="11" s="1"/>
  <c r="B38" i="10"/>
  <c r="B31" i="11" s="1"/>
  <c r="Z37" i="10"/>
  <c r="G37" i="10"/>
  <c r="AQ36" i="10"/>
  <c r="AP36" i="10"/>
  <c r="AO36" i="10"/>
  <c r="AN36" i="10"/>
  <c r="AM36" i="10"/>
  <c r="AL36" i="10"/>
  <c r="AK36" i="10"/>
  <c r="AJ36" i="10"/>
  <c r="AI36" i="10"/>
  <c r="AH36" i="10"/>
  <c r="AG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B36" i="10"/>
  <c r="B29" i="11" s="1"/>
  <c r="AQ35" i="10"/>
  <c r="AP35" i="10"/>
  <c r="AO35"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B35" i="10"/>
  <c r="B28" i="11" s="1"/>
  <c r="AQ34" i="10"/>
  <c r="AP34" i="10"/>
  <c r="AO34" i="10"/>
  <c r="AN34" i="10"/>
  <c r="AM34" i="10"/>
  <c r="AL34" i="10"/>
  <c r="AK34" i="10"/>
  <c r="AJ34" i="10"/>
  <c r="AI34" i="10"/>
  <c r="AH34" i="10"/>
  <c r="AG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B34" i="10"/>
  <c r="B27" i="11" s="1"/>
  <c r="B33" i="10"/>
  <c r="B26" i="11" s="1"/>
  <c r="AQ32" i="10"/>
  <c r="AP32" i="10"/>
  <c r="AO32" i="10"/>
  <c r="AN32" i="10"/>
  <c r="AM32" i="10"/>
  <c r="AL32" i="10"/>
  <c r="AK32" i="10"/>
  <c r="AJ32" i="10"/>
  <c r="AI32" i="10"/>
  <c r="AH32" i="10"/>
  <c r="AG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B32" i="10"/>
  <c r="B25" i="11" s="1"/>
  <c r="AQ31" i="10"/>
  <c r="AP31" i="10"/>
  <c r="AO31" i="10"/>
  <c r="AN31" i="10"/>
  <c r="AM31" i="10"/>
  <c r="AL31" i="10"/>
  <c r="AK31" i="10"/>
  <c r="AJ31" i="10"/>
  <c r="AI31" i="10"/>
  <c r="AH31" i="10"/>
  <c r="AG31" i="10"/>
  <c r="AF31" i="10"/>
  <c r="E31" i="10" s="1"/>
  <c r="E24" i="11" s="1"/>
  <c r="AE31" i="10"/>
  <c r="AD31" i="10"/>
  <c r="AC31" i="10"/>
  <c r="AB31" i="10"/>
  <c r="AA31" i="10"/>
  <c r="Z31" i="10"/>
  <c r="Y31" i="10"/>
  <c r="X31" i="10"/>
  <c r="W31" i="10"/>
  <c r="V31" i="10"/>
  <c r="U31" i="10"/>
  <c r="T31" i="10"/>
  <c r="S31" i="10"/>
  <c r="R31" i="10"/>
  <c r="Q31" i="10"/>
  <c r="P31" i="10"/>
  <c r="O31" i="10"/>
  <c r="N31" i="10"/>
  <c r="M31" i="10"/>
  <c r="L31" i="10"/>
  <c r="K31" i="10"/>
  <c r="J31" i="10"/>
  <c r="I31" i="10"/>
  <c r="H31" i="10"/>
  <c r="B31" i="10"/>
  <c r="B24" i="11" s="1"/>
  <c r="AQ30" i="10"/>
  <c r="AP30" i="10"/>
  <c r="AO30" i="10"/>
  <c r="AN30" i="10"/>
  <c r="AM30" i="10"/>
  <c r="AL30" i="10"/>
  <c r="AK30" i="10"/>
  <c r="AJ30" i="10"/>
  <c r="AI30" i="10"/>
  <c r="AH30" i="10"/>
  <c r="AG30" i="10"/>
  <c r="AF30" i="10"/>
  <c r="AE30" i="10"/>
  <c r="AD30" i="10"/>
  <c r="AC30" i="10"/>
  <c r="AB30" i="10"/>
  <c r="AA30" i="10"/>
  <c r="Z30" i="10"/>
  <c r="Y30" i="10"/>
  <c r="X30" i="10"/>
  <c r="W30" i="10"/>
  <c r="V30" i="10"/>
  <c r="U30" i="10"/>
  <c r="T30" i="10"/>
  <c r="S30" i="10"/>
  <c r="R30" i="10"/>
  <c r="Q30" i="10"/>
  <c r="P30" i="10"/>
  <c r="O30" i="10"/>
  <c r="N30" i="10"/>
  <c r="M30" i="10"/>
  <c r="L30" i="10"/>
  <c r="K30" i="10"/>
  <c r="J30" i="10"/>
  <c r="I30" i="10"/>
  <c r="H30" i="10"/>
  <c r="B30" i="10"/>
  <c r="B23" i="11" s="1"/>
  <c r="AQ29" i="10"/>
  <c r="AP29" i="10"/>
  <c r="AO29"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P29" i="10"/>
  <c r="O29" i="10"/>
  <c r="N29" i="10"/>
  <c r="M29" i="10"/>
  <c r="L29" i="10"/>
  <c r="K29" i="10"/>
  <c r="J29" i="10"/>
  <c r="I29" i="10"/>
  <c r="H29" i="10"/>
  <c r="B29" i="10"/>
  <c r="B22" i="11" s="1"/>
  <c r="AQ28" i="10"/>
  <c r="AP28" i="10"/>
  <c r="AO28"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P28" i="10"/>
  <c r="O28" i="10"/>
  <c r="N28" i="10"/>
  <c r="M28" i="10"/>
  <c r="L28" i="10"/>
  <c r="K28" i="10"/>
  <c r="J28" i="10"/>
  <c r="I28" i="10"/>
  <c r="H28" i="10"/>
  <c r="B28" i="10"/>
  <c r="B21" i="11" s="1"/>
  <c r="AQ27" i="10"/>
  <c r="AP27" i="10"/>
  <c r="AO27" i="10"/>
  <c r="AN27" i="10"/>
  <c r="AM27" i="10"/>
  <c r="AL27" i="10"/>
  <c r="AK27" i="10"/>
  <c r="AJ27" i="10"/>
  <c r="AI27" i="10"/>
  <c r="AH27" i="10"/>
  <c r="AG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B27" i="10"/>
  <c r="B20" i="11" s="1"/>
  <c r="AQ26" i="10"/>
  <c r="AP26" i="10"/>
  <c r="AO26" i="10"/>
  <c r="AN26" i="10"/>
  <c r="AM26" i="10"/>
  <c r="AL26" i="10"/>
  <c r="AK26" i="10"/>
  <c r="AJ26" i="10"/>
  <c r="AI26" i="10"/>
  <c r="AH26" i="10"/>
  <c r="AG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B26" i="10"/>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B25" i="10"/>
  <c r="B18" i="7" s="1"/>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B24" i="10"/>
  <c r="AQ23" i="10"/>
  <c r="AP23" i="10"/>
  <c r="AO23"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B23" i="10"/>
  <c r="B16" i="11" s="1"/>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19" i="10"/>
  <c r="E19" i="10"/>
  <c r="F19" i="10" s="1"/>
  <c r="D19" i="10"/>
  <c r="D12" i="11" s="1"/>
  <c r="C19" i="10"/>
  <c r="C12" i="11" s="1"/>
  <c r="B19" i="10"/>
  <c r="B12" i="11" s="1"/>
  <c r="G18" i="10"/>
  <c r="E18" i="10"/>
  <c r="E11" i="11" s="1"/>
  <c r="D18" i="10"/>
  <c r="D11" i="11" s="1"/>
  <c r="C18" i="10"/>
  <c r="C11" i="11" s="1"/>
  <c r="B18" i="10"/>
  <c r="G17" i="10"/>
  <c r="B17" i="10" s="1"/>
  <c r="B10" i="7" s="1"/>
  <c r="E17" i="10"/>
  <c r="E10" i="11" s="1"/>
  <c r="D17" i="10"/>
  <c r="D10" i="11" s="1"/>
  <c r="C17" i="10"/>
  <c r="C10" i="11" s="1"/>
  <c r="G16" i="10"/>
  <c r="B16" i="10" s="1"/>
  <c r="B9" i="11" s="1"/>
  <c r="E16" i="10"/>
  <c r="D16" i="10"/>
  <c r="D9" i="11" s="1"/>
  <c r="C16" i="10"/>
  <c r="C9" i="11" s="1"/>
  <c r="G15" i="10"/>
  <c r="B15" i="10" s="1"/>
  <c r="E15" i="10"/>
  <c r="E8" i="11" s="1"/>
  <c r="D15" i="10"/>
  <c r="D8" i="11" s="1"/>
  <c r="C15" i="10"/>
  <c r="G14" i="10"/>
  <c r="E14" i="10"/>
  <c r="E7" i="11" s="1"/>
  <c r="D14" i="10"/>
  <c r="D7" i="11" s="1"/>
  <c r="C14" i="10"/>
  <c r="C7" i="11" s="1"/>
  <c r="B14" i="10"/>
  <c r="B7" i="7" s="1"/>
  <c r="G13" i="10"/>
  <c r="B13" i="10" s="1"/>
  <c r="E13" i="10"/>
  <c r="E6" i="11" s="1"/>
  <c r="D13" i="10"/>
  <c r="D6" i="11" s="1"/>
  <c r="C13" i="10"/>
  <c r="C6" i="11" s="1"/>
  <c r="G10" i="10"/>
  <c r="H9" i="10"/>
  <c r="G9" i="10"/>
  <c r="H8" i="10"/>
  <c r="H7" i="10"/>
  <c r="AN70" i="10" s="1"/>
  <c r="D28" i="9"/>
  <c r="C28" i="9"/>
  <c r="C26" i="9"/>
  <c r="C13" i="9"/>
  <c r="B13" i="9"/>
  <c r="E45" i="8"/>
  <c r="D45" i="8"/>
  <c r="E30" i="8"/>
  <c r="D30" i="8"/>
  <c r="E15" i="8"/>
  <c r="D15" i="8"/>
  <c r="B56" i="7"/>
  <c r="B54" i="7"/>
  <c r="A44" i="7"/>
  <c r="A43" i="7"/>
  <c r="A42" i="7"/>
  <c r="A41" i="7"/>
  <c r="A37" i="7"/>
  <c r="A36" i="7"/>
  <c r="A35" i="7"/>
  <c r="B31" i="7"/>
  <c r="A31" i="7"/>
  <c r="A30" i="7"/>
  <c r="B29" i="7"/>
  <c r="A29" i="7"/>
  <c r="B28" i="7"/>
  <c r="A28" i="7"/>
  <c r="A27" i="7"/>
  <c r="B26" i="7"/>
  <c r="A26" i="7"/>
  <c r="B25" i="7"/>
  <c r="A25" i="7"/>
  <c r="E24" i="7"/>
  <c r="B24" i="7"/>
  <c r="A24" i="7"/>
  <c r="A23" i="7"/>
  <c r="A22" i="7"/>
  <c r="A21" i="7"/>
  <c r="B20" i="7"/>
  <c r="A20" i="7"/>
  <c r="A19" i="7"/>
  <c r="A18" i="7"/>
  <c r="B17" i="7"/>
  <c r="A17" i="7"/>
  <c r="B16" i="7"/>
  <c r="A16" i="7"/>
  <c r="D12" i="7"/>
  <c r="C12" i="7"/>
  <c r="A12" i="7"/>
  <c r="C11" i="7"/>
  <c r="A11" i="7"/>
  <c r="E10" i="7"/>
  <c r="D10" i="7"/>
  <c r="A10" i="7"/>
  <c r="C9" i="7"/>
  <c r="B9" i="7"/>
  <c r="A9" i="7"/>
  <c r="D8" i="7"/>
  <c r="A8" i="7"/>
  <c r="C7" i="7"/>
  <c r="A7" i="7"/>
  <c r="E6" i="7"/>
  <c r="D6" i="7"/>
  <c r="B6" i="7"/>
  <c r="A6" i="7"/>
  <c r="B29" i="6"/>
  <c r="B28" i="6"/>
  <c r="B27" i="6"/>
  <c r="B26" i="6"/>
  <c r="B25" i="6"/>
  <c r="B24" i="6"/>
  <c r="B15" i="5"/>
  <c r="B11" i="5"/>
  <c r="E11" i="5" s="1"/>
  <c r="E10" i="5"/>
  <c r="B10" i="5"/>
  <c r="B9" i="5"/>
  <c r="F9" i="5" s="1"/>
  <c r="F8" i="5"/>
  <c r="B8" i="5"/>
  <c r="B7" i="5"/>
  <c r="E7" i="5" s="1"/>
  <c r="B6" i="5"/>
  <c r="E6" i="5" s="1"/>
  <c r="B5" i="5"/>
  <c r="E5" i="5" s="1"/>
  <c r="B103" i="4"/>
  <c r="E12" i="5" l="1"/>
  <c r="B52" i="8"/>
  <c r="C54" i="7"/>
  <c r="B11" i="9"/>
  <c r="B8" i="11"/>
  <c r="B8" i="7"/>
  <c r="C53" i="8"/>
  <c r="D53" i="7"/>
  <c r="J101" i="10"/>
  <c r="R93" i="10"/>
  <c r="R83" i="10" s="1"/>
  <c r="Z101" i="10"/>
  <c r="AP101" i="10"/>
  <c r="AJ94" i="10"/>
  <c r="M103" i="10"/>
  <c r="AC95" i="10"/>
  <c r="AK103" i="10"/>
  <c r="V92" i="10"/>
  <c r="V82" i="10" s="1"/>
  <c r="AK95" i="10"/>
  <c r="F16" i="10"/>
  <c r="C28" i="10"/>
  <c r="E28" i="10"/>
  <c r="J91" i="10"/>
  <c r="J37" i="10" s="1"/>
  <c r="X92" i="10"/>
  <c r="X82" i="10" s="1"/>
  <c r="AQ94" i="10"/>
  <c r="G9" i="5"/>
  <c r="G12" i="5" s="1"/>
  <c r="D9" i="7"/>
  <c r="B12" i="7"/>
  <c r="B22" i="7"/>
  <c r="B29" i="9"/>
  <c r="G20" i="10"/>
  <c r="C35" i="10"/>
  <c r="E35" i="10"/>
  <c r="N77" i="10"/>
  <c r="V77" i="10"/>
  <c r="AD77" i="10"/>
  <c r="AL77" i="10"/>
  <c r="Q91" i="10"/>
  <c r="Q37" i="10" s="1"/>
  <c r="Z92" i="10"/>
  <c r="AG92" i="10"/>
  <c r="AG82" i="10" s="1"/>
  <c r="AP91" i="10"/>
  <c r="AP37" i="10" s="1"/>
  <c r="W95" i="10"/>
  <c r="AO91" i="10"/>
  <c r="AO37" i="10" s="1"/>
  <c r="C29" i="9"/>
  <c r="D24" i="10"/>
  <c r="D49" i="10"/>
  <c r="D42" i="7" s="1"/>
  <c r="Y50" i="10"/>
  <c r="AF92" i="10"/>
  <c r="H95" i="10"/>
  <c r="D23" i="10"/>
  <c r="C25" i="10"/>
  <c r="D25" i="10"/>
  <c r="C27" i="10"/>
  <c r="C20" i="11" s="1"/>
  <c r="E27" i="10"/>
  <c r="E20" i="11" s="1"/>
  <c r="C34" i="10"/>
  <c r="L48" i="10"/>
  <c r="H77" i="10"/>
  <c r="P77" i="10"/>
  <c r="X77" i="10"/>
  <c r="AF77" i="10"/>
  <c r="AN77" i="10"/>
  <c r="K100" i="10"/>
  <c r="AA100" i="10"/>
  <c r="N101" i="10"/>
  <c r="V101" i="10"/>
  <c r="V61" i="10" s="1"/>
  <c r="AD101" i="10"/>
  <c r="AL101" i="10"/>
  <c r="H92" i="10"/>
  <c r="AL92" i="10"/>
  <c r="AP93" i="10"/>
  <c r="AP83" i="10" s="1"/>
  <c r="I43" i="10"/>
  <c r="I45" i="10" s="1"/>
  <c r="AI48" i="10"/>
  <c r="C76" i="10"/>
  <c r="D76" i="10"/>
  <c r="E76" i="10"/>
  <c r="E8" i="7"/>
  <c r="C29" i="10"/>
  <c r="C22" i="7" s="1"/>
  <c r="E29" i="10"/>
  <c r="C32" i="10"/>
  <c r="E32" i="10"/>
  <c r="E36" i="10"/>
  <c r="T43" i="10"/>
  <c r="E72" i="10"/>
  <c r="R94" i="10"/>
  <c r="AA104" i="10"/>
  <c r="AH94" i="10"/>
  <c r="AN92" i="10"/>
  <c r="AN82" i="10" s="1"/>
  <c r="B35" i="7"/>
  <c r="B21" i="7"/>
  <c r="D34" i="10"/>
  <c r="D36" i="10"/>
  <c r="AG43" i="10"/>
  <c r="AG45" i="10" s="1"/>
  <c r="AI104" i="10"/>
  <c r="D17" i="11"/>
  <c r="D17" i="7"/>
  <c r="F9" i="11"/>
  <c r="F9" i="7"/>
  <c r="D18" i="11"/>
  <c r="D18" i="7"/>
  <c r="F12" i="11"/>
  <c r="F12" i="7"/>
  <c r="D7" i="7"/>
  <c r="I9" i="10"/>
  <c r="E23" i="10"/>
  <c r="E9" i="11"/>
  <c r="D29" i="9"/>
  <c r="E29" i="9" s="1"/>
  <c r="E9" i="7"/>
  <c r="C18" i="11"/>
  <c r="C18" i="7"/>
  <c r="B12" i="5"/>
  <c r="C20" i="7"/>
  <c r="B6" i="11"/>
  <c r="F13" i="10"/>
  <c r="B20" i="10"/>
  <c r="E20" i="10"/>
  <c r="C24" i="10"/>
  <c r="E24" i="10"/>
  <c r="D16" i="11"/>
  <c r="D16" i="7"/>
  <c r="E12" i="11"/>
  <c r="E12" i="7"/>
  <c r="C8" i="11"/>
  <c r="F15" i="10"/>
  <c r="C8" i="7"/>
  <c r="F12" i="5"/>
  <c r="E20" i="7"/>
  <c r="B11" i="11"/>
  <c r="F18" i="10"/>
  <c r="B11" i="7"/>
  <c r="C23" i="10"/>
  <c r="E25" i="10"/>
  <c r="AK59" i="10"/>
  <c r="AP61" i="10"/>
  <c r="AF60" i="10"/>
  <c r="X60" i="10"/>
  <c r="H60" i="10"/>
  <c r="N61" i="10"/>
  <c r="H36" i="6" s="1"/>
  <c r="V60" i="10"/>
  <c r="AL61" i="10"/>
  <c r="C21" i="11"/>
  <c r="C21" i="7"/>
  <c r="D42" i="11"/>
  <c r="B23" i="8"/>
  <c r="D11" i="7"/>
  <c r="AG99" i="10"/>
  <c r="AG59" i="10" s="1"/>
  <c r="AK81" i="10"/>
  <c r="AK71" i="10"/>
  <c r="AJ71" i="10"/>
  <c r="AB71" i="10"/>
  <c r="Y99" i="10"/>
  <c r="AQ71" i="10"/>
  <c r="AI71" i="10"/>
  <c r="U99" i="10"/>
  <c r="AP71" i="10"/>
  <c r="AH71" i="10"/>
  <c r="Z71" i="10"/>
  <c r="R71" i="10"/>
  <c r="AN71" i="10"/>
  <c r="AN73" i="10" s="1"/>
  <c r="AF71" i="10"/>
  <c r="X71" i="10"/>
  <c r="P71" i="10"/>
  <c r="H71" i="10"/>
  <c r="W81" i="10"/>
  <c r="O81" i="10"/>
  <c r="G81" i="10"/>
  <c r="B81" i="10" s="1"/>
  <c r="AG81" i="10"/>
  <c r="AO71" i="10"/>
  <c r="Y71" i="10"/>
  <c r="N71" i="10"/>
  <c r="AM71" i="10"/>
  <c r="W71" i="10"/>
  <c r="M71" i="10"/>
  <c r="AL71" i="10"/>
  <c r="V71" i="10"/>
  <c r="L71" i="10"/>
  <c r="AK99" i="10"/>
  <c r="AG71" i="10"/>
  <c r="U71" i="10"/>
  <c r="K71" i="10"/>
  <c r="S99" i="10"/>
  <c r="I99" i="10"/>
  <c r="AD71" i="10"/>
  <c r="S71" i="10"/>
  <c r="I71" i="10"/>
  <c r="T71" i="10"/>
  <c r="H49" i="10"/>
  <c r="C49" i="10" s="1"/>
  <c r="Q71" i="10"/>
  <c r="O71" i="10"/>
  <c r="H51" i="10"/>
  <c r="C51" i="10" s="1"/>
  <c r="Q81" i="10"/>
  <c r="J71" i="10"/>
  <c r="G71" i="10"/>
  <c r="B71" i="10" s="1"/>
  <c r="AE71" i="10"/>
  <c r="AA71" i="10"/>
  <c r="H10" i="10"/>
  <c r="H44" i="10"/>
  <c r="C44" i="10" s="1"/>
  <c r="C20" i="10"/>
  <c r="D29" i="10"/>
  <c r="D26" i="10"/>
  <c r="F26" i="10" s="1"/>
  <c r="C30" i="10"/>
  <c r="D32" i="10"/>
  <c r="B19" i="11"/>
  <c r="B19" i="7"/>
  <c r="C22" i="11"/>
  <c r="E28" i="11"/>
  <c r="E28" i="7"/>
  <c r="AD45" i="10"/>
  <c r="B26" i="9"/>
  <c r="B7" i="11"/>
  <c r="F14" i="10"/>
  <c r="B10" i="11"/>
  <c r="F17" i="10"/>
  <c r="B28" i="9"/>
  <c r="E28" i="9" s="1"/>
  <c r="D20" i="10"/>
  <c r="B17" i="11"/>
  <c r="F24" i="10"/>
  <c r="B18" i="11"/>
  <c r="F25" i="10"/>
  <c r="D28" i="10"/>
  <c r="D30" i="10"/>
  <c r="B37" i="11"/>
  <c r="F44" i="10"/>
  <c r="AC71" i="10"/>
  <c r="C26" i="10"/>
  <c r="E26" i="10"/>
  <c r="D27" i="10"/>
  <c r="C31" i="10"/>
  <c r="C27" i="11"/>
  <c r="C27" i="7"/>
  <c r="J45" i="10"/>
  <c r="J43" i="10"/>
  <c r="V43" i="10"/>
  <c r="V45" i="10" s="1"/>
  <c r="AH43" i="10"/>
  <c r="AH45" i="10" s="1"/>
  <c r="E44" i="10"/>
  <c r="N48" i="10"/>
  <c r="AJ48" i="10"/>
  <c r="AJ52" i="10" s="1"/>
  <c r="AH50" i="10"/>
  <c r="D35" i="10"/>
  <c r="L43" i="10"/>
  <c r="X43" i="10"/>
  <c r="X45" i="10" s="1"/>
  <c r="AJ43" i="10"/>
  <c r="AJ45" i="10" s="1"/>
  <c r="S48" i="10"/>
  <c r="S52" i="10" s="1"/>
  <c r="AL48" i="10"/>
  <c r="AI50" i="10"/>
  <c r="AI52" i="10" s="1"/>
  <c r="L45" i="10"/>
  <c r="T45" i="10"/>
  <c r="AB45" i="10"/>
  <c r="Y43" i="10"/>
  <c r="Y45" i="10" s="1"/>
  <c r="T48" i="10"/>
  <c r="AQ48" i="10"/>
  <c r="G50" i="10"/>
  <c r="B50" i="10" s="1"/>
  <c r="B44" i="11"/>
  <c r="O70" i="10"/>
  <c r="D31" i="10"/>
  <c r="M43" i="10"/>
  <c r="M45" i="10" s="1"/>
  <c r="AN43" i="10"/>
  <c r="AN45" i="10" s="1"/>
  <c r="C6" i="7"/>
  <c r="E7" i="7"/>
  <c r="C10" i="7"/>
  <c r="E11" i="7"/>
  <c r="B23" i="7"/>
  <c r="B27" i="7"/>
  <c r="D42" i="10"/>
  <c r="N43" i="10"/>
  <c r="N45" i="10" s="1"/>
  <c r="Z43" i="10"/>
  <c r="Z45" i="10" s="1"/>
  <c r="AO43" i="10"/>
  <c r="AO45" i="10" s="1"/>
  <c r="V48" i="10"/>
  <c r="V52" i="10" s="1"/>
  <c r="B42" i="11"/>
  <c r="H50" i="10"/>
  <c r="U70" i="10"/>
  <c r="U73" i="10" s="1"/>
  <c r="AL82" i="10"/>
  <c r="AL60" i="10"/>
  <c r="F35" i="10"/>
  <c r="G39" i="10"/>
  <c r="B39" i="10" s="1"/>
  <c r="B37" i="10"/>
  <c r="P43" i="10"/>
  <c r="P45" i="10" s="1"/>
  <c r="AB43" i="10"/>
  <c r="AP43" i="10"/>
  <c r="AP45" i="10" s="1"/>
  <c r="AA48" i="10"/>
  <c r="O50" i="10"/>
  <c r="E51" i="10"/>
  <c r="O101" i="10"/>
  <c r="O93" i="10"/>
  <c r="P93" i="10"/>
  <c r="P91" i="10"/>
  <c r="P37" i="10" s="1"/>
  <c r="W93" i="10"/>
  <c r="X91" i="10"/>
  <c r="X37" i="10" s="1"/>
  <c r="W101" i="10"/>
  <c r="AF83" i="10"/>
  <c r="L82" i="10"/>
  <c r="G80" i="10"/>
  <c r="AP70" i="10"/>
  <c r="AP73" i="10" s="1"/>
  <c r="AH70" i="10"/>
  <c r="Z70" i="10"/>
  <c r="R70" i="10"/>
  <c r="R73" i="10" s="1"/>
  <c r="J70" i="10"/>
  <c r="J73" i="10" s="1"/>
  <c r="AJ98" i="10"/>
  <c r="AJ58" i="10" s="1"/>
  <c r="AQ80" i="10"/>
  <c r="AL70" i="10"/>
  <c r="AL73" i="10" s="1"/>
  <c r="AC70" i="10"/>
  <c r="AC73" i="10" s="1"/>
  <c r="T70" i="10"/>
  <c r="K70" i="10"/>
  <c r="K73" i="10" s="1"/>
  <c r="X98" i="10"/>
  <c r="AK70" i="10"/>
  <c r="AB70" i="10"/>
  <c r="AB73" i="10" s="1"/>
  <c r="S70" i="10"/>
  <c r="S73" i="10" s="1"/>
  <c r="I70" i="10"/>
  <c r="I73" i="10" s="1"/>
  <c r="K98" i="10"/>
  <c r="K58" i="10" s="1"/>
  <c r="AJ70" i="10"/>
  <c r="AA70" i="10"/>
  <c r="AA73" i="10" s="1"/>
  <c r="Q70" i="10"/>
  <c r="H70" i="10"/>
  <c r="AO50" i="10"/>
  <c r="AG50" i="10"/>
  <c r="AI70" i="10"/>
  <c r="Y70" i="10"/>
  <c r="P70" i="10"/>
  <c r="P73" i="10" s="1"/>
  <c r="G70" i="10"/>
  <c r="AO70" i="10"/>
  <c r="AO73" i="10" s="1"/>
  <c r="AF70" i="10"/>
  <c r="W70" i="10"/>
  <c r="N70" i="10"/>
  <c r="N73" i="10" s="1"/>
  <c r="AL50" i="10"/>
  <c r="AD50" i="10"/>
  <c r="V50" i="10"/>
  <c r="AM70" i="10"/>
  <c r="AM73" i="10" s="1"/>
  <c r="M70" i="10"/>
  <c r="AQ50" i="10"/>
  <c r="AF50" i="10"/>
  <c r="W50" i="10"/>
  <c r="N50" i="10"/>
  <c r="AP48" i="10"/>
  <c r="AH48" i="10"/>
  <c r="Z48" i="10"/>
  <c r="R48" i="10"/>
  <c r="J48" i="10"/>
  <c r="AG70" i="10"/>
  <c r="AG73" i="10" s="1"/>
  <c r="L70" i="10"/>
  <c r="L73" i="10" s="1"/>
  <c r="AP50" i="10"/>
  <c r="AE50" i="10"/>
  <c r="U50" i="10"/>
  <c r="M50" i="10"/>
  <c r="AO48" i="10"/>
  <c r="AG48" i="10"/>
  <c r="AG52" i="10" s="1"/>
  <c r="Y48" i="10"/>
  <c r="Y52" i="10" s="1"/>
  <c r="Q48" i="10"/>
  <c r="I48" i="10"/>
  <c r="I52" i="10" s="1"/>
  <c r="AM43" i="10"/>
  <c r="AE43" i="10"/>
  <c r="W43" i="10"/>
  <c r="W45" i="10" s="1"/>
  <c r="O43" i="10"/>
  <c r="G43" i="10"/>
  <c r="B43" i="10" s="1"/>
  <c r="AE70" i="10"/>
  <c r="AE73" i="10" s="1"/>
  <c r="AN50" i="10"/>
  <c r="AC50" i="10"/>
  <c r="T50" i="10"/>
  <c r="L50" i="10"/>
  <c r="L52" i="10" s="1"/>
  <c r="AN48" i="10"/>
  <c r="AN52" i="10" s="1"/>
  <c r="AF48" i="10"/>
  <c r="X48" i="10"/>
  <c r="P48" i="10"/>
  <c r="H48" i="10"/>
  <c r="AL43" i="10"/>
  <c r="AL45" i="10" s="1"/>
  <c r="AD70" i="10"/>
  <c r="AM50" i="10"/>
  <c r="AB50" i="10"/>
  <c r="S50" i="10"/>
  <c r="K50" i="10"/>
  <c r="AM48" i="10"/>
  <c r="AE48" i="10"/>
  <c r="W48" i="10"/>
  <c r="W52" i="10" s="1"/>
  <c r="O48" i="10"/>
  <c r="G48" i="10"/>
  <c r="AK43" i="10"/>
  <c r="AK45" i="10" s="1"/>
  <c r="AC43" i="10"/>
  <c r="AC45" i="10" s="1"/>
  <c r="U43" i="10"/>
  <c r="U45" i="10" s="1"/>
  <c r="X70" i="10"/>
  <c r="X73" i="10" s="1"/>
  <c r="AK50" i="10"/>
  <c r="AA50" i="10"/>
  <c r="R50" i="10"/>
  <c r="J50" i="10"/>
  <c r="V70" i="10"/>
  <c r="AJ50" i="10"/>
  <c r="Z50" i="10"/>
  <c r="Q50" i="10"/>
  <c r="I50" i="10"/>
  <c r="AK48" i="10"/>
  <c r="AK52" i="10" s="1"/>
  <c r="AC48" i="10"/>
  <c r="U48" i="10"/>
  <c r="U52" i="10" s="1"/>
  <c r="M48" i="10"/>
  <c r="M52" i="10" s="1"/>
  <c r="AQ43" i="10"/>
  <c r="AQ45" i="10" s="1"/>
  <c r="AI43" i="10"/>
  <c r="AI45" i="10" s="1"/>
  <c r="AA43" i="10"/>
  <c r="AA45" i="10" s="1"/>
  <c r="S43" i="10"/>
  <c r="S45" i="10" s="1"/>
  <c r="K43" i="10"/>
  <c r="K45" i="10" s="1"/>
  <c r="F28" i="10"/>
  <c r="F31" i="10"/>
  <c r="F32" i="10"/>
  <c r="E34" i="10"/>
  <c r="C36" i="10"/>
  <c r="F36" i="10" s="1"/>
  <c r="O45" i="10"/>
  <c r="AE45" i="10"/>
  <c r="AM45" i="10"/>
  <c r="Q43" i="10"/>
  <c r="Q45" i="10" s="1"/>
  <c r="AD43" i="10"/>
  <c r="AB48" i="10"/>
  <c r="E49" i="10"/>
  <c r="P50" i="10"/>
  <c r="AQ70" i="10"/>
  <c r="AQ73" i="10" s="1"/>
  <c r="E30" i="10"/>
  <c r="H42" i="10"/>
  <c r="E42" i="10"/>
  <c r="H43" i="10"/>
  <c r="R43" i="10"/>
  <c r="R45" i="10" s="1"/>
  <c r="AF43" i="10"/>
  <c r="D44" i="10"/>
  <c r="K48" i="10"/>
  <c r="K52" i="10" s="1"/>
  <c r="AD48" i="10"/>
  <c r="X50" i="10"/>
  <c r="I77" i="10"/>
  <c r="C77" i="10" s="1"/>
  <c r="C75" i="10"/>
  <c r="AG77" i="10"/>
  <c r="E75" i="10"/>
  <c r="D51" i="10"/>
  <c r="K80" i="10"/>
  <c r="L101" i="10"/>
  <c r="M93" i="10"/>
  <c r="L93" i="10"/>
  <c r="T101" i="10"/>
  <c r="U93" i="10"/>
  <c r="D88" i="10"/>
  <c r="T93" i="10"/>
  <c r="AB101" i="10"/>
  <c r="AC93" i="10"/>
  <c r="AJ101" i="10"/>
  <c r="AK93" i="10"/>
  <c r="AJ93" i="10"/>
  <c r="J82" i="10"/>
  <c r="N104" i="10"/>
  <c r="N94" i="10"/>
  <c r="N98" i="10"/>
  <c r="O98" i="10"/>
  <c r="O94" i="10"/>
  <c r="V104" i="10"/>
  <c r="V98" i="10"/>
  <c r="V94" i="10"/>
  <c r="V91" i="10"/>
  <c r="V37" i="10" s="1"/>
  <c r="D89" i="10"/>
  <c r="AD104" i="10"/>
  <c r="AD94" i="10"/>
  <c r="AD91" i="10"/>
  <c r="AD37" i="10" s="1"/>
  <c r="AD98" i="10"/>
  <c r="AE94" i="10"/>
  <c r="AL104" i="10"/>
  <c r="AL98" i="10"/>
  <c r="AM94" i="10"/>
  <c r="AL94" i="10"/>
  <c r="AL91" i="10"/>
  <c r="AL37" i="10" s="1"/>
  <c r="AB93" i="10"/>
  <c r="E74" i="10"/>
  <c r="L100" i="10"/>
  <c r="L60" i="10" s="1"/>
  <c r="F35" i="6" s="1"/>
  <c r="L91" i="10"/>
  <c r="L37" i="10" s="1"/>
  <c r="T91" i="10"/>
  <c r="T100" i="10"/>
  <c r="AB100" i="10"/>
  <c r="AB92" i="10"/>
  <c r="AJ100" i="10"/>
  <c r="AJ92" i="10"/>
  <c r="AN81" i="10"/>
  <c r="X81" i="10"/>
  <c r="T104" i="10"/>
  <c r="AE93" i="10"/>
  <c r="AE101" i="10"/>
  <c r="AF91" i="10"/>
  <c r="AM101" i="10"/>
  <c r="AM93" i="10"/>
  <c r="H98" i="10"/>
  <c r="AF98" i="10"/>
  <c r="AN98" i="10"/>
  <c r="Y80" i="10"/>
  <c r="L77" i="10"/>
  <c r="T77" i="10"/>
  <c r="D77" i="10" s="1"/>
  <c r="AB77" i="10"/>
  <c r="AJ77" i="10"/>
  <c r="D87" i="10"/>
  <c r="J103" i="10"/>
  <c r="J99" i="10"/>
  <c r="J95" i="10"/>
  <c r="R103" i="10"/>
  <c r="R99" i="10"/>
  <c r="R95" i="10"/>
  <c r="Z103" i="10"/>
  <c r="Z99" i="10"/>
  <c r="Z95" i="10"/>
  <c r="AH103" i="10"/>
  <c r="AH99" i="10"/>
  <c r="AH95" i="10"/>
  <c r="AP103" i="10"/>
  <c r="AP99" i="10"/>
  <c r="AB91" i="10"/>
  <c r="AB37" i="10" s="1"/>
  <c r="AN93" i="10"/>
  <c r="AI95" i="10"/>
  <c r="D75" i="10"/>
  <c r="R80" i="10"/>
  <c r="AH80" i="10"/>
  <c r="AJ91" i="10"/>
  <c r="AJ37" i="10" s="1"/>
  <c r="F76" i="10"/>
  <c r="F56" i="7" s="1"/>
  <c r="T82" i="10"/>
  <c r="S98" i="10"/>
  <c r="AA98" i="10"/>
  <c r="AQ98" i="10"/>
  <c r="AP95" i="10"/>
  <c r="C72" i="10"/>
  <c r="D74" i="10"/>
  <c r="G77" i="10"/>
  <c r="B77" i="10" s="1"/>
  <c r="B75" i="10"/>
  <c r="Z82" i="10"/>
  <c r="T98" i="10"/>
  <c r="AJ80" i="10"/>
  <c r="F90" i="10"/>
  <c r="AC81" i="10"/>
  <c r="G96" i="10"/>
  <c r="B96" i="10" s="1"/>
  <c r="B92" i="10"/>
  <c r="AF82" i="10"/>
  <c r="H81" i="10"/>
  <c r="AQ103" i="10"/>
  <c r="E87" i="10"/>
  <c r="M100" i="10"/>
  <c r="M91" i="10"/>
  <c r="M37" i="10" s="1"/>
  <c r="M92" i="10"/>
  <c r="U92" i="10"/>
  <c r="AC92" i="10"/>
  <c r="AK92" i="10"/>
  <c r="L104" i="10"/>
  <c r="L98" i="10"/>
  <c r="L102" i="10" s="1"/>
  <c r="AB98" i="10"/>
  <c r="AB104" i="10"/>
  <c r="AB94" i="10"/>
  <c r="K95" i="10"/>
  <c r="S103" i="10"/>
  <c r="AA99" i="10"/>
  <c r="AA95" i="10"/>
  <c r="AI103" i="10"/>
  <c r="AI99" i="10"/>
  <c r="AQ99" i="10"/>
  <c r="AQ95" i="10"/>
  <c r="Y91" i="10"/>
  <c r="Y37" i="10" s="1"/>
  <c r="AH92" i="10"/>
  <c r="L94" i="10"/>
  <c r="AA94" i="10"/>
  <c r="S95" i="10"/>
  <c r="K99" i="10"/>
  <c r="AA103" i="10"/>
  <c r="N100" i="10"/>
  <c r="E89" i="10"/>
  <c r="M104" i="10"/>
  <c r="U104" i="10"/>
  <c r="U98" i="10"/>
  <c r="AC104" i="10"/>
  <c r="AC98" i="10"/>
  <c r="AK104" i="10"/>
  <c r="AK98" i="10"/>
  <c r="AK102" i="10" s="1"/>
  <c r="AK94" i="10"/>
  <c r="L103" i="10"/>
  <c r="L99" i="10"/>
  <c r="T103" i="10"/>
  <c r="T95" i="10"/>
  <c r="T99" i="10"/>
  <c r="AB103" i="10"/>
  <c r="AB99" i="10"/>
  <c r="AJ103" i="10"/>
  <c r="AJ99" i="10"/>
  <c r="AJ95" i="10"/>
  <c r="N91" i="10"/>
  <c r="N37" i="10" s="1"/>
  <c r="AN91" i="10"/>
  <c r="AN37" i="10" s="1"/>
  <c r="W92" i="10"/>
  <c r="AD93" i="10"/>
  <c r="M94" i="10"/>
  <c r="AC94" i="10"/>
  <c r="U95" i="10"/>
  <c r="M99" i="10"/>
  <c r="AJ104" i="10"/>
  <c r="H82" i="10"/>
  <c r="H101" i="10"/>
  <c r="C88" i="10"/>
  <c r="P101" i="10"/>
  <c r="X101" i="10"/>
  <c r="AF101" i="10"/>
  <c r="E88" i="10"/>
  <c r="AN101" i="10"/>
  <c r="W98" i="10"/>
  <c r="AE98" i="10"/>
  <c r="AE102" i="10" s="1"/>
  <c r="N95" i="10"/>
  <c r="N103" i="10"/>
  <c r="N99" i="10"/>
  <c r="V95" i="10"/>
  <c r="V99" i="10"/>
  <c r="V103" i="10"/>
  <c r="AD95" i="10"/>
  <c r="AD99" i="10"/>
  <c r="AL95" i="10"/>
  <c r="AL103" i="10"/>
  <c r="AL99" i="10"/>
  <c r="N92" i="10"/>
  <c r="H93" i="10"/>
  <c r="AH93" i="10"/>
  <c r="M98" i="10"/>
  <c r="I92" i="10"/>
  <c r="I100" i="10"/>
  <c r="Q100" i="10"/>
  <c r="Q92" i="10"/>
  <c r="Y92" i="10"/>
  <c r="Y100" i="10"/>
  <c r="AO100" i="10"/>
  <c r="AO92" i="10"/>
  <c r="I93" i="10"/>
  <c r="I101" i="10"/>
  <c r="Q93" i="10"/>
  <c r="Q101" i="10"/>
  <c r="Y93" i="10"/>
  <c r="Y101" i="10"/>
  <c r="H104" i="10"/>
  <c r="H94" i="10"/>
  <c r="C89" i="10"/>
  <c r="F89" i="10" s="1"/>
  <c r="P104" i="10"/>
  <c r="P94" i="10"/>
  <c r="Q98" i="10"/>
  <c r="Q102" i="10" s="1"/>
  <c r="P98" i="10"/>
  <c r="X104" i="10"/>
  <c r="X94" i="10"/>
  <c r="AF104" i="10"/>
  <c r="AF94" i="10"/>
  <c r="AG104" i="10"/>
  <c r="AG94" i="10"/>
  <c r="AN104" i="10"/>
  <c r="AN94" i="10"/>
  <c r="R91" i="10"/>
  <c r="R37" i="10" s="1"/>
  <c r="J93" i="10"/>
  <c r="T94" i="10"/>
  <c r="T96" i="10" s="1"/>
  <c r="AB95" i="10"/>
  <c r="AG101" i="10"/>
  <c r="AG61" i="10" s="1"/>
  <c r="J100" i="10"/>
  <c r="J60" i="10" s="1"/>
  <c r="D35" i="6" s="1"/>
  <c r="R100" i="10"/>
  <c r="Z100" i="10"/>
  <c r="Z60" i="10" s="1"/>
  <c r="AH100" i="10"/>
  <c r="AP100" i="10"/>
  <c r="R101" i="10"/>
  <c r="R61" i="10" s="1"/>
  <c r="L36" i="6" s="1"/>
  <c r="AH101" i="10"/>
  <c r="I98" i="10"/>
  <c r="I102" i="10" s="1"/>
  <c r="Q94" i="10"/>
  <c r="Y104" i="10"/>
  <c r="AO104" i="10"/>
  <c r="H103" i="10"/>
  <c r="H99" i="10"/>
  <c r="H59" i="10" s="1"/>
  <c r="I95" i="10"/>
  <c r="P103" i="10"/>
  <c r="P99" i="10"/>
  <c r="Q99" i="10"/>
  <c r="Q59" i="10" s="1"/>
  <c r="K34" i="6" s="1"/>
  <c r="P95" i="10"/>
  <c r="X103" i="10"/>
  <c r="X99" i="10"/>
  <c r="X59" i="10" s="1"/>
  <c r="Y95" i="10"/>
  <c r="AF103" i="10"/>
  <c r="AF99" i="10"/>
  <c r="E90" i="10"/>
  <c r="AF95" i="10"/>
  <c r="AN103" i="10"/>
  <c r="AN99" i="10"/>
  <c r="AN59" i="10" s="1"/>
  <c r="H91" i="10"/>
  <c r="AG91" i="10"/>
  <c r="AG37" i="10" s="1"/>
  <c r="P92" i="10"/>
  <c r="AD92" i="10"/>
  <c r="AP92" i="10"/>
  <c r="X93" i="10"/>
  <c r="X96" i="10" s="1"/>
  <c r="U94" i="10"/>
  <c r="L95" i="10"/>
  <c r="AE95" i="10"/>
  <c r="AC99" i="10"/>
  <c r="C87" i="10"/>
  <c r="F87" i="10" s="1"/>
  <c r="K92" i="10"/>
  <c r="K91" i="10"/>
  <c r="K37" i="10" s="1"/>
  <c r="S100" i="10"/>
  <c r="S92" i="10"/>
  <c r="S91" i="10"/>
  <c r="S37" i="10" s="1"/>
  <c r="AA92" i="10"/>
  <c r="AA91" i="10"/>
  <c r="AA37" i="10" s="1"/>
  <c r="AI92" i="10"/>
  <c r="AI100" i="10"/>
  <c r="AI91" i="10"/>
  <c r="AI37" i="10" s="1"/>
  <c r="AQ92" i="10"/>
  <c r="AQ91" i="10"/>
  <c r="AQ37" i="10" s="1"/>
  <c r="J98" i="10"/>
  <c r="J104" i="10"/>
  <c r="K104" i="10"/>
  <c r="J94" i="10"/>
  <c r="R98" i="10"/>
  <c r="R104" i="10"/>
  <c r="Z98" i="10"/>
  <c r="Z102" i="10" s="1"/>
  <c r="Z104" i="10"/>
  <c r="Z94" i="10"/>
  <c r="AH98" i="10"/>
  <c r="AH104" i="10"/>
  <c r="AI98" i="10"/>
  <c r="AP98" i="10"/>
  <c r="AP102" i="10" s="1"/>
  <c r="AP104" i="10"/>
  <c r="AP94" i="10"/>
  <c r="I91" i="10"/>
  <c r="I37" i="10" s="1"/>
  <c r="AH91" i="10"/>
  <c r="AH37" i="10" s="1"/>
  <c r="R92" i="10"/>
  <c r="Z93" i="10"/>
  <c r="I94" i="10"/>
  <c r="AO94" i="10"/>
  <c r="AG100" i="10"/>
  <c r="AG60" i="10" s="1"/>
  <c r="K103" i="10"/>
  <c r="S105" i="10" s="1"/>
  <c r="Q104" i="10"/>
  <c r="O100" i="10"/>
  <c r="O60" i="10" s="1"/>
  <c r="I35" i="6" s="1"/>
  <c r="W100" i="10"/>
  <c r="AE100" i="10"/>
  <c r="AE60" i="10" s="1"/>
  <c r="AM100" i="10"/>
  <c r="AM60" i="10" s="1"/>
  <c r="M101" i="10"/>
  <c r="U101" i="10"/>
  <c r="AC101" i="10"/>
  <c r="AK101" i="10"/>
  <c r="I103" i="10"/>
  <c r="Q103" i="10"/>
  <c r="Y103" i="10"/>
  <c r="AG103" i="10"/>
  <c r="AO103" i="10"/>
  <c r="AO99" i="10"/>
  <c r="O91" i="10"/>
  <c r="O37" i="10" s="1"/>
  <c r="W91" i="10"/>
  <c r="W37" i="10" s="1"/>
  <c r="AE91" i="10"/>
  <c r="AE37" i="10" s="1"/>
  <c r="AM91" i="10"/>
  <c r="AM37" i="10" s="1"/>
  <c r="S94" i="10"/>
  <c r="M95" i="10"/>
  <c r="AO95" i="10"/>
  <c r="S104" i="10"/>
  <c r="AC103" i="10"/>
  <c r="O104" i="10"/>
  <c r="W104" i="10"/>
  <c r="AE104" i="10"/>
  <c r="AM104" i="10"/>
  <c r="W94" i="10"/>
  <c r="I104" i="10"/>
  <c r="U100" i="10"/>
  <c r="U102" i="10" s="1"/>
  <c r="AC100" i="10"/>
  <c r="AK100" i="10"/>
  <c r="K101" i="10"/>
  <c r="K61" i="10" s="1"/>
  <c r="E36" i="6" s="1"/>
  <c r="S101" i="10"/>
  <c r="S61" i="10" s="1"/>
  <c r="M36" i="6" s="1"/>
  <c r="AA101" i="10"/>
  <c r="AA61" i="10" s="1"/>
  <c r="AI101" i="10"/>
  <c r="AI61" i="10" s="1"/>
  <c r="AQ101" i="10"/>
  <c r="AQ61" i="10" s="1"/>
  <c r="Y98" i="10"/>
  <c r="Y58" i="10" s="1"/>
  <c r="AG98" i="10"/>
  <c r="AG102" i="10" s="1"/>
  <c r="AO98" i="10"/>
  <c r="AO102" i="10" s="1"/>
  <c r="O103" i="10"/>
  <c r="O99" i="10"/>
  <c r="O59" i="10" s="1"/>
  <c r="I34" i="6" s="1"/>
  <c r="W103" i="10"/>
  <c r="W99" i="10"/>
  <c r="W59" i="10" s="1"/>
  <c r="AE103" i="10"/>
  <c r="AE99" i="10"/>
  <c r="AM103" i="10"/>
  <c r="AM99" i="10"/>
  <c r="U91" i="10"/>
  <c r="U37" i="10" s="1"/>
  <c r="AC91" i="10"/>
  <c r="AC37" i="10" s="1"/>
  <c r="AK91" i="10"/>
  <c r="AK37" i="10" s="1"/>
  <c r="AO93" i="10"/>
  <c r="AI94" i="10"/>
  <c r="AM95" i="10"/>
  <c r="AM98" i="10"/>
  <c r="AM102" i="10" s="1"/>
  <c r="B103" i="10"/>
  <c r="O96" i="10" l="1"/>
  <c r="AI102" i="10"/>
  <c r="AQ102" i="10"/>
  <c r="AC102" i="10"/>
  <c r="AA102" i="10"/>
  <c r="AN102" i="10"/>
  <c r="AL102" i="10"/>
  <c r="F88" i="10"/>
  <c r="AO52" i="10"/>
  <c r="X102" i="10"/>
  <c r="E25" i="11"/>
  <c r="E25" i="7"/>
  <c r="N102" i="10"/>
  <c r="AB102" i="10"/>
  <c r="V73" i="10"/>
  <c r="Z52" i="10"/>
  <c r="AJ102" i="10"/>
  <c r="C25" i="11"/>
  <c r="C25" i="7"/>
  <c r="C28" i="11"/>
  <c r="C28" i="7"/>
  <c r="AB105" i="10"/>
  <c r="W102" i="10"/>
  <c r="AH102" i="10"/>
  <c r="X105" i="10"/>
  <c r="H96" i="10"/>
  <c r="M102" i="10"/>
  <c r="S102" i="10"/>
  <c r="M105" i="10"/>
  <c r="J102" i="10"/>
  <c r="P102" i="10"/>
  <c r="V96" i="10"/>
  <c r="E101" i="10"/>
  <c r="E77" i="10"/>
  <c r="V102" i="10"/>
  <c r="E22" i="11"/>
  <c r="E22" i="7"/>
  <c r="R102" i="10"/>
  <c r="AM96" i="10"/>
  <c r="AD102" i="10"/>
  <c r="AC52" i="10"/>
  <c r="O52" i="10"/>
  <c r="AD73" i="10"/>
  <c r="AP52" i="10"/>
  <c r="Y73" i="10"/>
  <c r="AN60" i="10"/>
  <c r="E21" i="11"/>
  <c r="E21" i="7"/>
  <c r="AQ58" i="10"/>
  <c r="C100" i="10"/>
  <c r="O102" i="10"/>
  <c r="AC59" i="10"/>
  <c r="D29" i="11"/>
  <c r="D29" i="7"/>
  <c r="D53" i="8"/>
  <c r="E53" i="7"/>
  <c r="E56" i="7"/>
  <c r="D18" i="9"/>
  <c r="D27" i="11"/>
  <c r="D27" i="7"/>
  <c r="D56" i="7"/>
  <c r="C18" i="9"/>
  <c r="AI73" i="10"/>
  <c r="E29" i="11"/>
  <c r="E29" i="7"/>
  <c r="C56" i="7"/>
  <c r="B18" i="9"/>
  <c r="E33" i="6"/>
  <c r="F29" i="11"/>
  <c r="F29" i="7"/>
  <c r="B34" i="6"/>
  <c r="AJ81" i="10"/>
  <c r="AJ84" i="10" s="1"/>
  <c r="AJ59" i="10"/>
  <c r="AB96" i="10"/>
  <c r="AB82" i="10"/>
  <c r="AB60" i="10"/>
  <c r="H45" i="10"/>
  <c r="C45" i="10" s="1"/>
  <c r="C42" i="10"/>
  <c r="AN105" i="10"/>
  <c r="E94" i="10"/>
  <c r="AF80" i="10"/>
  <c r="AF58" i="10"/>
  <c r="I61" i="10"/>
  <c r="C36" i="6" s="1"/>
  <c r="I83" i="10"/>
  <c r="AE83" i="10"/>
  <c r="AE61" i="10"/>
  <c r="D100" i="10"/>
  <c r="AE80" i="10"/>
  <c r="AE58" i="10"/>
  <c r="B30" i="11"/>
  <c r="B30" i="7"/>
  <c r="N105" i="10"/>
  <c r="AA81" i="10"/>
  <c r="AA59" i="10"/>
  <c r="B53" i="8"/>
  <c r="C53" i="7"/>
  <c r="D91" i="10"/>
  <c r="T37" i="10"/>
  <c r="D37" i="10" s="1"/>
  <c r="B43" i="11"/>
  <c r="B43" i="7"/>
  <c r="F10" i="11"/>
  <c r="F10" i="7"/>
  <c r="F19" i="11"/>
  <c r="F19" i="7"/>
  <c r="Y102" i="10"/>
  <c r="K102" i="10"/>
  <c r="F8" i="11"/>
  <c r="F8" i="7"/>
  <c r="L105" i="10"/>
  <c r="W80" i="10"/>
  <c r="W58" i="10"/>
  <c r="S96" i="10"/>
  <c r="S82" i="10"/>
  <c r="S60" i="10"/>
  <c r="M35" i="6" s="1"/>
  <c r="U80" i="10"/>
  <c r="U58" i="10"/>
  <c r="P81" i="10"/>
  <c r="P59" i="10"/>
  <c r="J34" i="6" s="1"/>
  <c r="X80" i="10"/>
  <c r="X58" i="10"/>
  <c r="X62" i="10" s="1"/>
  <c r="C104" i="10"/>
  <c r="C101" i="10"/>
  <c r="AD83" i="10"/>
  <c r="AD61" i="10"/>
  <c r="AK82" i="10"/>
  <c r="AK96" i="10"/>
  <c r="AK60" i="10"/>
  <c r="AP81" i="10"/>
  <c r="AP59" i="10"/>
  <c r="R81" i="10"/>
  <c r="R59" i="10"/>
  <c r="L34" i="6" s="1"/>
  <c r="E98" i="10"/>
  <c r="O80" i="10"/>
  <c r="O58" i="10"/>
  <c r="AJ83" i="10"/>
  <c r="AJ61" i="10"/>
  <c r="D101" i="10"/>
  <c r="D17" i="9"/>
  <c r="D11" i="1" s="1"/>
  <c r="E55" i="7"/>
  <c r="E43" i="10"/>
  <c r="AF45" i="10"/>
  <c r="E45" i="10" s="1"/>
  <c r="E42" i="11"/>
  <c r="B38" i="8"/>
  <c r="E42" i="7"/>
  <c r="G45" i="10"/>
  <c r="B45" i="10" s="1"/>
  <c r="AE52" i="10"/>
  <c r="H52" i="10"/>
  <c r="C48" i="10"/>
  <c r="Q52" i="10"/>
  <c r="AQ52" i="10"/>
  <c r="N52" i="10"/>
  <c r="E19" i="11"/>
  <c r="E19" i="7"/>
  <c r="D23" i="11"/>
  <c r="D23" i="7"/>
  <c r="C42" i="11"/>
  <c r="C42" i="7"/>
  <c r="B8" i="8"/>
  <c r="C71" i="10"/>
  <c r="F71" i="10" s="1"/>
  <c r="F52" i="7" s="1"/>
  <c r="R58" i="10"/>
  <c r="T60" i="10"/>
  <c r="B5" i="1"/>
  <c r="B17" i="5"/>
  <c r="B16" i="5"/>
  <c r="B18" i="5" s="1"/>
  <c r="D43" i="10"/>
  <c r="Z83" i="10"/>
  <c r="Z61" i="10"/>
  <c r="J80" i="10"/>
  <c r="J58" i="10"/>
  <c r="P82" i="10"/>
  <c r="P96" i="10"/>
  <c r="P60" i="10"/>
  <c r="J35" i="6" s="1"/>
  <c r="E103" i="10"/>
  <c r="C95" i="10"/>
  <c r="I59" i="10"/>
  <c r="C34" i="6" s="1"/>
  <c r="I81" i="10"/>
  <c r="AB81" i="10"/>
  <c r="AB59" i="10"/>
  <c r="AG80" i="10"/>
  <c r="AG84" i="10" s="1"/>
  <c r="AG58" i="10"/>
  <c r="AG62" i="10" s="1"/>
  <c r="P80" i="10"/>
  <c r="P58" i="10"/>
  <c r="Q83" i="10"/>
  <c r="Q61" i="10"/>
  <c r="K36" i="6" s="1"/>
  <c r="Q96" i="10"/>
  <c r="Q82" i="10"/>
  <c r="Q60" i="10"/>
  <c r="K35" i="6" s="1"/>
  <c r="N82" i="10"/>
  <c r="N96" i="10"/>
  <c r="N60" i="10"/>
  <c r="H35" i="6" s="1"/>
  <c r="V81" i="10"/>
  <c r="V59" i="10"/>
  <c r="E91" i="10"/>
  <c r="AF37" i="10"/>
  <c r="E37" i="10" s="1"/>
  <c r="AE81" i="10"/>
  <c r="AE59" i="10"/>
  <c r="C91" i="10"/>
  <c r="F91" i="10" s="1"/>
  <c r="H37" i="10"/>
  <c r="C37" i="10" s="1"/>
  <c r="AH105" i="10"/>
  <c r="O105" i="10"/>
  <c r="AG105" i="10"/>
  <c r="J105" i="10"/>
  <c r="AE105" i="10"/>
  <c r="I105" i="10"/>
  <c r="Z105" i="10"/>
  <c r="Y105" i="10"/>
  <c r="AP105" i="10"/>
  <c r="W105" i="10"/>
  <c r="AO105" i="10"/>
  <c r="R105" i="10"/>
  <c r="AM105" i="10"/>
  <c r="Q105" i="10"/>
  <c r="C103" i="10"/>
  <c r="J83" i="10"/>
  <c r="J61" i="10"/>
  <c r="D36" i="6" s="1"/>
  <c r="AC80" i="10"/>
  <c r="AC58" i="10"/>
  <c r="AK80" i="10"/>
  <c r="AK58" i="10"/>
  <c r="AH82" i="10"/>
  <c r="AH96" i="10"/>
  <c r="AH60" i="10"/>
  <c r="D54" i="7"/>
  <c r="C11" i="9"/>
  <c r="C52" i="8"/>
  <c r="AN83" i="10"/>
  <c r="AN61" i="10"/>
  <c r="D50" i="10"/>
  <c r="D20" i="11"/>
  <c r="D20" i="7"/>
  <c r="T105" i="10"/>
  <c r="AN96" i="10"/>
  <c r="E104" i="10"/>
  <c r="C94" i="10"/>
  <c r="H80" i="10"/>
  <c r="H58" i="10"/>
  <c r="AO96" i="10"/>
  <c r="AO82" i="10"/>
  <c r="AO60" i="10"/>
  <c r="I96" i="10"/>
  <c r="I82" i="10"/>
  <c r="I60" i="10"/>
  <c r="C35" i="6" s="1"/>
  <c r="AL81" i="10"/>
  <c r="AL59" i="10"/>
  <c r="N81" i="10"/>
  <c r="N59" i="10"/>
  <c r="H34" i="6" s="1"/>
  <c r="M80" i="10"/>
  <c r="M58" i="10"/>
  <c r="J96" i="10"/>
  <c r="U83" i="10"/>
  <c r="U61" i="10"/>
  <c r="D37" i="11"/>
  <c r="D37" i="7"/>
  <c r="G84" i="10"/>
  <c r="B84" i="10" s="1"/>
  <c r="B80" i="10"/>
  <c r="E44" i="11"/>
  <c r="E44" i="7"/>
  <c r="B39" i="8"/>
  <c r="B32" i="11"/>
  <c r="B32" i="7"/>
  <c r="I10" i="10"/>
  <c r="J10" i="10" s="1"/>
  <c r="K10" i="10" s="1"/>
  <c r="L10" i="10" s="1"/>
  <c r="M10" i="10" s="1"/>
  <c r="N10" i="10" s="1"/>
  <c r="O10" i="10" s="1"/>
  <c r="P10" i="10" s="1"/>
  <c r="Q10" i="10" s="1"/>
  <c r="R10" i="10" s="1"/>
  <c r="S10" i="10" s="1"/>
  <c r="T10" i="10" s="1"/>
  <c r="AK105" i="10"/>
  <c r="AQ105" i="10"/>
  <c r="P105" i="10"/>
  <c r="AO59" i="10"/>
  <c r="AO81" i="10"/>
  <c r="AP80" i="10"/>
  <c r="AP58" i="10"/>
  <c r="AQ96" i="10"/>
  <c r="AQ82" i="10"/>
  <c r="AQ60" i="10"/>
  <c r="X83" i="10"/>
  <c r="X61" i="10"/>
  <c r="E95" i="10"/>
  <c r="AF81" i="10"/>
  <c r="AF59" i="10"/>
  <c r="Q80" i="10"/>
  <c r="Q58" i="10"/>
  <c r="AG96" i="10"/>
  <c r="AD81" i="10"/>
  <c r="AD59" i="10"/>
  <c r="E100" i="10"/>
  <c r="F100" i="10" s="1"/>
  <c r="W96" i="10"/>
  <c r="W82" i="10"/>
  <c r="W60" i="10"/>
  <c r="D99" i="10"/>
  <c r="C92" i="10"/>
  <c r="AC96" i="10"/>
  <c r="AC82" i="10"/>
  <c r="AC60" i="10"/>
  <c r="AF96" i="10"/>
  <c r="D98" i="10"/>
  <c r="C98" i="10"/>
  <c r="AD80" i="10"/>
  <c r="AD58" i="10"/>
  <c r="AK61" i="10"/>
  <c r="AK83" i="10"/>
  <c r="L83" i="10"/>
  <c r="L61" i="10"/>
  <c r="F36" i="6" s="1"/>
  <c r="AB52" i="10"/>
  <c r="C29" i="11"/>
  <c r="C29" i="7"/>
  <c r="AM52" i="10"/>
  <c r="P52" i="10"/>
  <c r="E50" i="10"/>
  <c r="W73" i="10"/>
  <c r="W83" i="10"/>
  <c r="W61" i="10"/>
  <c r="AA52" i="10"/>
  <c r="F28" i="11"/>
  <c r="F28" i="7"/>
  <c r="D24" i="11"/>
  <c r="D24" i="7"/>
  <c r="T52" i="10"/>
  <c r="D48" i="10"/>
  <c r="E37" i="11"/>
  <c r="E37" i="7"/>
  <c r="C19" i="11"/>
  <c r="C19" i="7"/>
  <c r="D21" i="11"/>
  <c r="D21" i="7"/>
  <c r="F7" i="11"/>
  <c r="F7" i="7"/>
  <c r="D71" i="10"/>
  <c r="AH58" i="10"/>
  <c r="H102" i="10"/>
  <c r="C102" i="10" s="1"/>
  <c r="E18" i="11"/>
  <c r="E18" i="7"/>
  <c r="V105" i="10"/>
  <c r="AL105" i="10"/>
  <c r="R82" i="10"/>
  <c r="R84" i="10" s="1"/>
  <c r="R60" i="10"/>
  <c r="L35" i="6" s="1"/>
  <c r="R96" i="10"/>
  <c r="AA96" i="10"/>
  <c r="AA82" i="10"/>
  <c r="AA60" i="10"/>
  <c r="D44" i="11"/>
  <c r="B24" i="8"/>
  <c r="D44" i="7"/>
  <c r="F37" i="11"/>
  <c r="F37" i="7"/>
  <c r="C37" i="11"/>
  <c r="C37" i="7"/>
  <c r="B23" i="5"/>
  <c r="E13" i="11"/>
  <c r="E13" i="7"/>
  <c r="AF105" i="10"/>
  <c r="AO83" i="10"/>
  <c r="AO61" i="10"/>
  <c r="Z80" i="10"/>
  <c r="Z58" i="10"/>
  <c r="L81" i="10"/>
  <c r="L59" i="10"/>
  <c r="F34" i="6" s="1"/>
  <c r="AI105" i="10"/>
  <c r="M81" i="10"/>
  <c r="M59" i="10"/>
  <c r="G34" i="6" s="1"/>
  <c r="AO80" i="10"/>
  <c r="AO58" i="10"/>
  <c r="AO62" i="10" s="1"/>
  <c r="AP96" i="10"/>
  <c r="AP82" i="10"/>
  <c r="AP60" i="10"/>
  <c r="AN80" i="10"/>
  <c r="AN84" i="10" s="1"/>
  <c r="AN58" i="10"/>
  <c r="AN62" i="10" s="1"/>
  <c r="Y83" i="10"/>
  <c r="Y61" i="10"/>
  <c r="AH83" i="10"/>
  <c r="E83" i="10" s="1"/>
  <c r="D18" i="6" s="1"/>
  <c r="AH61" i="10"/>
  <c r="D95" i="10"/>
  <c r="T81" i="10"/>
  <c r="T59" i="10"/>
  <c r="K81" i="10"/>
  <c r="K59" i="10"/>
  <c r="E34" i="6" s="1"/>
  <c r="U82" i="10"/>
  <c r="U96" i="10"/>
  <c r="U60" i="10"/>
  <c r="AH81" i="10"/>
  <c r="AH59" i="10"/>
  <c r="AM83" i="10"/>
  <c r="AM61" i="10"/>
  <c r="AJ96" i="10"/>
  <c r="AJ82" i="10"/>
  <c r="AJ60" i="10"/>
  <c r="D11" i="9"/>
  <c r="E54" i="7"/>
  <c r="D52" i="8"/>
  <c r="AL80" i="10"/>
  <c r="AL84" i="10" s="1"/>
  <c r="AL58" i="10"/>
  <c r="AL62" i="10" s="1"/>
  <c r="M83" i="10"/>
  <c r="M61" i="10"/>
  <c r="G36" i="6" s="1"/>
  <c r="B17" i="9"/>
  <c r="C55" i="7"/>
  <c r="C43" i="10"/>
  <c r="E27" i="11"/>
  <c r="E27" i="7"/>
  <c r="X52" i="10"/>
  <c r="B36" i="11"/>
  <c r="B36" i="7"/>
  <c r="J52" i="10"/>
  <c r="AF73" i="10"/>
  <c r="E73" i="10" s="1"/>
  <c r="D10" i="9" s="1"/>
  <c r="E70" i="10"/>
  <c r="H73" i="10"/>
  <c r="C70" i="10"/>
  <c r="AK73" i="10"/>
  <c r="F34" i="10"/>
  <c r="AL96" i="10"/>
  <c r="F18" i="11"/>
  <c r="F18" i="7"/>
  <c r="B52" i="7"/>
  <c r="C16" i="11"/>
  <c r="C16" i="7"/>
  <c r="F23" i="10"/>
  <c r="E17" i="11"/>
  <c r="E17" i="7"/>
  <c r="E16" i="11"/>
  <c r="E16" i="7"/>
  <c r="AI96" i="10"/>
  <c r="AI82" i="10"/>
  <c r="AI60" i="10"/>
  <c r="AA58" i="10"/>
  <c r="AA62" i="10" s="1"/>
  <c r="AA80" i="10"/>
  <c r="AA84" i="10" s="1"/>
  <c r="K84" i="10"/>
  <c r="F24" i="11"/>
  <c r="F24" i="7"/>
  <c r="AI80" i="10"/>
  <c r="AI58" i="10"/>
  <c r="F21" i="11"/>
  <c r="F21" i="7"/>
  <c r="AQ62" i="10"/>
  <c r="D104" i="10"/>
  <c r="F27" i="10"/>
  <c r="AC105" i="10"/>
  <c r="H105" i="10"/>
  <c r="H38" i="10" s="1"/>
  <c r="U105" i="10"/>
  <c r="AA105" i="10"/>
  <c r="S58" i="10"/>
  <c r="S80" i="10"/>
  <c r="I80" i="10"/>
  <c r="I58" i="10"/>
  <c r="K82" i="10"/>
  <c r="K96" i="10"/>
  <c r="K60" i="10"/>
  <c r="E35" i="6" s="1"/>
  <c r="AD96" i="10"/>
  <c r="AD60" i="10"/>
  <c r="AD82" i="10"/>
  <c r="E99" i="10"/>
  <c r="Y96" i="10"/>
  <c r="Y82" i="10"/>
  <c r="Y60" i="10"/>
  <c r="C93" i="10"/>
  <c r="H83" i="10"/>
  <c r="H61" i="10"/>
  <c r="D103" i="10"/>
  <c r="S81" i="10"/>
  <c r="S59" i="10"/>
  <c r="M34" i="6" s="1"/>
  <c r="AQ81" i="10"/>
  <c r="AQ84" i="10" s="1"/>
  <c r="AQ59" i="10"/>
  <c r="AB80" i="10"/>
  <c r="AB58" i="10"/>
  <c r="AB62" i="10" s="1"/>
  <c r="M96" i="10"/>
  <c r="M82" i="10"/>
  <c r="M60" i="10"/>
  <c r="G35" i="6" s="1"/>
  <c r="E92" i="10"/>
  <c r="Z96" i="10"/>
  <c r="J81" i="10"/>
  <c r="J59" i="10"/>
  <c r="D34" i="6" s="1"/>
  <c r="F72" i="10"/>
  <c r="F53" i="7" s="1"/>
  <c r="AM80" i="10"/>
  <c r="AM58" i="10"/>
  <c r="AM62" i="10" s="1"/>
  <c r="N80" i="10"/>
  <c r="N58" i="10"/>
  <c r="AC83" i="10"/>
  <c r="AC61" i="10"/>
  <c r="E35" i="11"/>
  <c r="E35" i="7"/>
  <c r="F25" i="11"/>
  <c r="F25" i="7"/>
  <c r="AF52" i="10"/>
  <c r="E52" i="10" s="1"/>
  <c r="E48" i="10"/>
  <c r="R52" i="10"/>
  <c r="M73" i="10"/>
  <c r="Q73" i="10"/>
  <c r="L96" i="10"/>
  <c r="P83" i="10"/>
  <c r="P61" i="10"/>
  <c r="J36" i="6" s="1"/>
  <c r="D35" i="11"/>
  <c r="D35" i="7"/>
  <c r="AL52" i="10"/>
  <c r="D13" i="11"/>
  <c r="D13" i="7"/>
  <c r="D25" i="11"/>
  <c r="D25" i="7"/>
  <c r="D22" i="11"/>
  <c r="D22" i="7"/>
  <c r="E71" i="10"/>
  <c r="B35" i="6"/>
  <c r="AF102" i="10"/>
  <c r="E102" i="10" s="1"/>
  <c r="C17" i="11"/>
  <c r="C17" i="7"/>
  <c r="B13" i="11"/>
  <c r="B64" i="11" s="1"/>
  <c r="B13" i="7"/>
  <c r="F20" i="10"/>
  <c r="I38" i="10"/>
  <c r="J9" i="10"/>
  <c r="I33" i="10"/>
  <c r="I39" i="10" s="1"/>
  <c r="I54" i="10" s="1"/>
  <c r="H33" i="10"/>
  <c r="F74" i="10"/>
  <c r="F54" i="7" s="1"/>
  <c r="F17" i="11"/>
  <c r="F17" i="7"/>
  <c r="F29" i="10"/>
  <c r="C23" i="11"/>
  <c r="C23" i="7"/>
  <c r="C13" i="11"/>
  <c r="C13" i="7"/>
  <c r="F75" i="10"/>
  <c r="F55" i="7" s="1"/>
  <c r="B55" i="7"/>
  <c r="C17" i="9"/>
  <c r="C11" i="1" s="1"/>
  <c r="D55" i="7"/>
  <c r="G73" i="10"/>
  <c r="B73" i="10" s="1"/>
  <c r="B70" i="10"/>
  <c r="Z73" i="10"/>
  <c r="AF61" i="10"/>
  <c r="O61" i="10"/>
  <c r="I36" i="6" s="1"/>
  <c r="O83" i="10"/>
  <c r="C50" i="10"/>
  <c r="O73" i="10"/>
  <c r="AD105" i="10"/>
  <c r="AJ105" i="10"/>
  <c r="K105" i="10"/>
  <c r="AM81" i="10"/>
  <c r="AM59" i="10"/>
  <c r="AE96" i="10"/>
  <c r="Y81" i="10"/>
  <c r="Y84" i="10" s="1"/>
  <c r="Y59" i="10"/>
  <c r="C99" i="10"/>
  <c r="D94" i="10"/>
  <c r="T80" i="10"/>
  <c r="T58" i="10"/>
  <c r="U81" i="10"/>
  <c r="U59" i="10"/>
  <c r="L80" i="10"/>
  <c r="L84" i="10" s="1"/>
  <c r="L58" i="10"/>
  <c r="F77" i="10"/>
  <c r="AI81" i="10"/>
  <c r="AI59" i="10"/>
  <c r="Z81" i="10"/>
  <c r="Z59" i="10"/>
  <c r="D92" i="10"/>
  <c r="AB83" i="10"/>
  <c r="AB61" i="10"/>
  <c r="V80" i="10"/>
  <c r="V58" i="10"/>
  <c r="V62" i="10" s="1"/>
  <c r="T83" i="10"/>
  <c r="D93" i="10"/>
  <c r="T61" i="10"/>
  <c r="AD52" i="10"/>
  <c r="E23" i="11"/>
  <c r="E23" i="7"/>
  <c r="F30" i="10"/>
  <c r="B48" i="10"/>
  <c r="G52" i="10"/>
  <c r="B52" i="10" s="1"/>
  <c r="AH52" i="10"/>
  <c r="AJ73" i="10"/>
  <c r="T73" i="10"/>
  <c r="D73" i="10" s="1"/>
  <c r="C10" i="9" s="1"/>
  <c r="D70" i="10"/>
  <c r="AH73" i="10"/>
  <c r="E93" i="10"/>
  <c r="F49" i="10"/>
  <c r="F51" i="10"/>
  <c r="D45" i="10"/>
  <c r="D28" i="11"/>
  <c r="D28" i="7"/>
  <c r="C24" i="11"/>
  <c r="C24" i="7"/>
  <c r="D19" i="11"/>
  <c r="D19" i="7"/>
  <c r="C44" i="11"/>
  <c r="B9" i="8"/>
  <c r="C44" i="7"/>
  <c r="E60" i="10"/>
  <c r="T102" i="10"/>
  <c r="F11" i="11"/>
  <c r="F11" i="7"/>
  <c r="F6" i="11"/>
  <c r="F6" i="7"/>
  <c r="D61" i="10" l="1"/>
  <c r="AM84" i="10"/>
  <c r="C96" i="10"/>
  <c r="D82" i="10"/>
  <c r="C17" i="6" s="1"/>
  <c r="F98" i="10"/>
  <c r="Q84" i="10"/>
  <c r="B15" i="8"/>
  <c r="G54" i="10"/>
  <c r="B54" i="10" s="1"/>
  <c r="F103" i="10"/>
  <c r="P84" i="10"/>
  <c r="AI62" i="10"/>
  <c r="E82" i="10"/>
  <c r="D17" i="6" s="1"/>
  <c r="C81" i="10"/>
  <c r="E105" i="10"/>
  <c r="E96" i="10"/>
  <c r="F96" i="10" s="1"/>
  <c r="AP84" i="10"/>
  <c r="AK62" i="10"/>
  <c r="V84" i="10"/>
  <c r="F99" i="10"/>
  <c r="N35" i="6"/>
  <c r="E18" i="9"/>
  <c r="D96" i="10"/>
  <c r="Y62" i="10"/>
  <c r="AH84" i="10"/>
  <c r="C82" i="10"/>
  <c r="F92" i="10"/>
  <c r="AJ62" i="10"/>
  <c r="B17" i="6"/>
  <c r="E17" i="6" s="1"/>
  <c r="F82" i="10"/>
  <c r="B16" i="6"/>
  <c r="C43" i="11"/>
  <c r="B25" i="5"/>
  <c r="C43" i="7"/>
  <c r="C9" i="8"/>
  <c r="D25" i="9"/>
  <c r="D9" i="1"/>
  <c r="C36" i="11"/>
  <c r="C36" i="7"/>
  <c r="B22" i="5"/>
  <c r="D52" i="10"/>
  <c r="H62" i="10"/>
  <c r="C58" i="10"/>
  <c r="B33" i="6"/>
  <c r="D43" i="11"/>
  <c r="C24" i="8"/>
  <c r="F24" i="8" s="1"/>
  <c r="D43" i="7"/>
  <c r="E38" i="11"/>
  <c r="D27" i="9"/>
  <c r="E38" i="7"/>
  <c r="O84" i="10"/>
  <c r="X84" i="10"/>
  <c r="W62" i="10"/>
  <c r="C83" i="10"/>
  <c r="E43" i="11"/>
  <c r="E43" i="7"/>
  <c r="C39" i="8"/>
  <c r="F39" i="8" s="1"/>
  <c r="H84" i="10"/>
  <c r="C80" i="10"/>
  <c r="B15" i="6" s="1"/>
  <c r="C41" i="11"/>
  <c r="C41" i="7"/>
  <c r="C8" i="8"/>
  <c r="B24" i="5"/>
  <c r="E36" i="11"/>
  <c r="E36" i="7"/>
  <c r="W84" i="10"/>
  <c r="AF62" i="10"/>
  <c r="E58" i="10"/>
  <c r="E52" i="11"/>
  <c r="D36" i="8"/>
  <c r="D7" i="6"/>
  <c r="C22" i="8"/>
  <c r="D51" i="7"/>
  <c r="D59" i="10"/>
  <c r="E81" i="10"/>
  <c r="D16" i="6" s="1"/>
  <c r="D36" i="11"/>
  <c r="D36" i="7"/>
  <c r="D30" i="11"/>
  <c r="D30" i="7"/>
  <c r="F37" i="10"/>
  <c r="D53" i="11"/>
  <c r="E21" i="8"/>
  <c r="C8" i="6"/>
  <c r="K9" i="10"/>
  <c r="J38" i="10"/>
  <c r="J33" i="10"/>
  <c r="D81" i="10"/>
  <c r="C16" i="6" s="1"/>
  <c r="F9" i="8"/>
  <c r="D38" i="11"/>
  <c r="C27" i="9"/>
  <c r="D38" i="7"/>
  <c r="F22" i="11"/>
  <c r="F22" i="7"/>
  <c r="C60" i="10"/>
  <c r="AB84" i="10"/>
  <c r="F93" i="10"/>
  <c r="E17" i="9"/>
  <c r="B11" i="1"/>
  <c r="F44" i="11"/>
  <c r="F44" i="7"/>
  <c r="B45" i="11"/>
  <c r="B45" i="7"/>
  <c r="D83" i="10"/>
  <c r="C18" i="6" s="1"/>
  <c r="D58" i="10"/>
  <c r="T62" i="10"/>
  <c r="E61" i="10"/>
  <c r="F13" i="11"/>
  <c r="F13" i="7"/>
  <c r="E52" i="7"/>
  <c r="B37" i="8"/>
  <c r="E41" i="11"/>
  <c r="E41" i="7"/>
  <c r="C38" i="8"/>
  <c r="N62" i="10"/>
  <c r="H33" i="6"/>
  <c r="H37" i="6" s="1"/>
  <c r="C105" i="10"/>
  <c r="F16" i="11"/>
  <c r="F16" i="7"/>
  <c r="F27" i="11"/>
  <c r="F27" i="7"/>
  <c r="F43" i="10"/>
  <c r="F94" i="10"/>
  <c r="AK84" i="10"/>
  <c r="E30" i="11"/>
  <c r="E30" i="7"/>
  <c r="C52" i="10"/>
  <c r="AE62" i="10"/>
  <c r="E80" i="10"/>
  <c r="D15" i="6" s="1"/>
  <c r="AF84" i="10"/>
  <c r="S62" i="10"/>
  <c r="M33" i="6"/>
  <c r="M37" i="6" s="1"/>
  <c r="D41" i="11"/>
  <c r="C23" i="8"/>
  <c r="F23" i="8" s="1"/>
  <c r="D41" i="7"/>
  <c r="O62" i="10"/>
  <c r="I33" i="6"/>
  <c r="I37" i="6" s="1"/>
  <c r="F42" i="11"/>
  <c r="F42" i="7"/>
  <c r="B41" i="11"/>
  <c r="F48" i="10"/>
  <c r="B41" i="7"/>
  <c r="D80" i="10"/>
  <c r="C15" i="6" s="1"/>
  <c r="C19" i="6" s="1"/>
  <c r="T84" i="10"/>
  <c r="G65" i="10"/>
  <c r="E45" i="11"/>
  <c r="D8" i="9"/>
  <c r="E45" i="7"/>
  <c r="N84" i="10"/>
  <c r="Z62" i="10"/>
  <c r="AD62" i="10"/>
  <c r="AC62" i="10"/>
  <c r="J62" i="10"/>
  <c r="D33" i="6"/>
  <c r="D37" i="6" s="1"/>
  <c r="D60" i="10"/>
  <c r="U62" i="10"/>
  <c r="AE84" i="10"/>
  <c r="E37" i="6"/>
  <c r="Z84" i="10"/>
  <c r="AD84" i="10"/>
  <c r="Q62" i="10"/>
  <c r="K33" i="6"/>
  <c r="K37" i="6" s="1"/>
  <c r="M62" i="10"/>
  <c r="G33" i="6"/>
  <c r="G37" i="6" s="1"/>
  <c r="E11" i="9"/>
  <c r="AC84" i="10"/>
  <c r="J84" i="10"/>
  <c r="R62" i="10"/>
  <c r="L33" i="6"/>
  <c r="L37" i="6" s="1"/>
  <c r="B38" i="11"/>
  <c r="F45" i="10"/>
  <c r="B27" i="9"/>
  <c r="B38" i="7"/>
  <c r="U84" i="10"/>
  <c r="N34" i="6"/>
  <c r="K62" i="10"/>
  <c r="L62" i="10"/>
  <c r="F33" i="6"/>
  <c r="F37" i="6" s="1"/>
  <c r="C25" i="9"/>
  <c r="C9" i="1"/>
  <c r="C61" i="10"/>
  <c r="B36" i="6"/>
  <c r="N36" i="6" s="1"/>
  <c r="F23" i="11"/>
  <c r="F23" i="7"/>
  <c r="F70" i="10"/>
  <c r="F51" i="7" s="1"/>
  <c r="B51" i="7"/>
  <c r="I62" i="10"/>
  <c r="I65" i="10" s="1"/>
  <c r="C33" i="6"/>
  <c r="C37" i="6" s="1"/>
  <c r="F20" i="11"/>
  <c r="F20" i="7"/>
  <c r="AI84" i="10"/>
  <c r="C51" i="7"/>
  <c r="C7" i="8"/>
  <c r="D102" i="10"/>
  <c r="F102" i="10" s="1"/>
  <c r="F73" i="10"/>
  <c r="I84" i="10"/>
  <c r="C73" i="10"/>
  <c r="B10" i="9" s="1"/>
  <c r="AO84" i="10"/>
  <c r="AH62" i="10"/>
  <c r="M84" i="10"/>
  <c r="D105" i="10"/>
  <c r="C52" i="7"/>
  <c r="B7" i="8"/>
  <c r="F7" i="8" s="1"/>
  <c r="F101" i="10"/>
  <c r="F50" i="10"/>
  <c r="C35" i="11"/>
  <c r="B21" i="5"/>
  <c r="C35" i="7"/>
  <c r="F42" i="10"/>
  <c r="C59" i="10"/>
  <c r="H39" i="10"/>
  <c r="S84" i="10"/>
  <c r="C37" i="8"/>
  <c r="E51" i="7"/>
  <c r="B22" i="8"/>
  <c r="D52" i="7"/>
  <c r="E59" i="10"/>
  <c r="AP62" i="10"/>
  <c r="U10" i="10"/>
  <c r="V10" i="10" s="1"/>
  <c r="W10" i="10" s="1"/>
  <c r="X10" i="10" s="1"/>
  <c r="Y10" i="10" s="1"/>
  <c r="Z10" i="10" s="1"/>
  <c r="AA10" i="10" s="1"/>
  <c r="AB10" i="10" s="1"/>
  <c r="AC10" i="10" s="1"/>
  <c r="AD10" i="10" s="1"/>
  <c r="AE10" i="10" s="1"/>
  <c r="AF10" i="10" s="1"/>
  <c r="C30" i="11"/>
  <c r="C30" i="7"/>
  <c r="P62" i="10"/>
  <c r="J33" i="6"/>
  <c r="J37" i="6" s="1"/>
  <c r="F95" i="10"/>
  <c r="F8" i="8"/>
  <c r="F38" i="8"/>
  <c r="F104" i="10"/>
  <c r="C38" i="11"/>
  <c r="C38" i="7"/>
  <c r="B30" i="8" l="1"/>
  <c r="J39" i="10"/>
  <c r="J54" i="10" s="1"/>
  <c r="F105" i="10"/>
  <c r="B26" i="5"/>
  <c r="F80" i="10"/>
  <c r="J65" i="10"/>
  <c r="G55" i="10"/>
  <c r="E11" i="1"/>
  <c r="D50" i="11"/>
  <c r="C5" i="6"/>
  <c r="C21" i="8"/>
  <c r="D51" i="11"/>
  <c r="C6" i="6"/>
  <c r="B21" i="8"/>
  <c r="D52" i="11"/>
  <c r="D21" i="8"/>
  <c r="C7" i="6"/>
  <c r="E62" i="10"/>
  <c r="C45" i="11"/>
  <c r="B67" i="11" s="1"/>
  <c r="C45" i="7"/>
  <c r="B8" i="9"/>
  <c r="E8" i="9" s="1"/>
  <c r="E15" i="6"/>
  <c r="F37" i="8"/>
  <c r="F30" i="11"/>
  <c r="F30" i="7"/>
  <c r="C84" i="10"/>
  <c r="F81" i="10"/>
  <c r="H54" i="10"/>
  <c r="H55" i="10" s="1"/>
  <c r="I55" i="10" s="1"/>
  <c r="J55" i="10" s="1"/>
  <c r="C53" i="11"/>
  <c r="E6" i="8"/>
  <c r="B8" i="6"/>
  <c r="F61" i="10"/>
  <c r="F53" i="11" s="1"/>
  <c r="F41" i="11"/>
  <c r="F41" i="7"/>
  <c r="F52" i="10"/>
  <c r="B37" i="6"/>
  <c r="N33" i="6"/>
  <c r="N37" i="6" s="1"/>
  <c r="E16" i="6"/>
  <c r="E51" i="11"/>
  <c r="D6" i="6"/>
  <c r="B36" i="8"/>
  <c r="C52" i="11"/>
  <c r="F60" i="10"/>
  <c r="F52" i="11" s="1"/>
  <c r="D6" i="8"/>
  <c r="B7" i="6"/>
  <c r="E7" i="6" s="1"/>
  <c r="C50" i="11"/>
  <c r="F58" i="10"/>
  <c r="F50" i="11" s="1"/>
  <c r="B5" i="6"/>
  <c r="C6" i="8"/>
  <c r="C51" i="11"/>
  <c r="F59" i="10"/>
  <c r="F51" i="11" s="1"/>
  <c r="B6" i="6"/>
  <c r="E6" i="6" s="1"/>
  <c r="B6" i="8"/>
  <c r="E27" i="9"/>
  <c r="B47" i="11"/>
  <c r="B47" i="7"/>
  <c r="B48" i="7" s="1"/>
  <c r="C62" i="10"/>
  <c r="F22" i="8"/>
  <c r="F35" i="11"/>
  <c r="F35" i="7"/>
  <c r="B25" i="9"/>
  <c r="E25" i="9" s="1"/>
  <c r="E10" i="9"/>
  <c r="E9" i="1" s="1"/>
  <c r="B9" i="1"/>
  <c r="F38" i="11"/>
  <c r="F38" i="7"/>
  <c r="B65" i="10"/>
  <c r="G66" i="10"/>
  <c r="E84" i="10"/>
  <c r="E53" i="11"/>
  <c r="D8" i="6"/>
  <c r="E36" i="8"/>
  <c r="K33" i="10"/>
  <c r="L9" i="10"/>
  <c r="K38" i="10"/>
  <c r="F83" i="10"/>
  <c r="B18" i="6"/>
  <c r="E18" i="6" s="1"/>
  <c r="D45" i="11"/>
  <c r="D45" i="7"/>
  <c r="C8" i="9"/>
  <c r="AG10" i="10"/>
  <c r="AH10" i="10" s="1"/>
  <c r="AI10" i="10" s="1"/>
  <c r="AJ10" i="10" s="1"/>
  <c r="AK10" i="10" s="1"/>
  <c r="AL10" i="10" s="1"/>
  <c r="AM10" i="10" s="1"/>
  <c r="AN10" i="10" s="1"/>
  <c r="AO10" i="10" s="1"/>
  <c r="AP10" i="10" s="1"/>
  <c r="AQ10" i="10" s="1"/>
  <c r="F43" i="11"/>
  <c r="F43" i="7"/>
  <c r="D84" i="10"/>
  <c r="D19" i="6"/>
  <c r="F36" i="11"/>
  <c r="F36" i="7"/>
  <c r="D62" i="10"/>
  <c r="E50" i="11"/>
  <c r="D5" i="6"/>
  <c r="C36" i="8"/>
  <c r="H65" i="10" l="1"/>
  <c r="F36" i="8"/>
  <c r="B21" i="1"/>
  <c r="D9" i="6"/>
  <c r="D20" i="6" s="1"/>
  <c r="G67" i="10"/>
  <c r="B66" i="10"/>
  <c r="B58" i="11" s="1"/>
  <c r="H66" i="10"/>
  <c r="F84" i="10"/>
  <c r="B19" i="6"/>
  <c r="M9" i="10"/>
  <c r="L38" i="10"/>
  <c r="L33" i="10"/>
  <c r="L39" i="10" s="1"/>
  <c r="L54" i="10" s="1"/>
  <c r="L65" i="10" s="1"/>
  <c r="B57" i="11"/>
  <c r="E8" i="6"/>
  <c r="C9" i="6"/>
  <c r="K39" i="10"/>
  <c r="B20" i="1"/>
  <c r="B22" i="1"/>
  <c r="D54" i="11"/>
  <c r="C6" i="9"/>
  <c r="C54" i="11"/>
  <c r="F62" i="10"/>
  <c r="F54" i="11" s="1"/>
  <c r="B6" i="9"/>
  <c r="B9" i="6"/>
  <c r="E5" i="6"/>
  <c r="F21" i="8"/>
  <c r="F45" i="11"/>
  <c r="F45" i="7"/>
  <c r="E54" i="11"/>
  <c r="D6" i="9"/>
  <c r="B45" i="8"/>
  <c r="B19" i="1"/>
  <c r="F6" i="8"/>
  <c r="E19" i="6"/>
  <c r="E9" i="6" l="1"/>
  <c r="E21" i="6" s="1"/>
  <c r="I66" i="10"/>
  <c r="H67" i="10"/>
  <c r="B23" i="1"/>
  <c r="E6" i="9"/>
  <c r="B6" i="1"/>
  <c r="K54" i="10"/>
  <c r="E20" i="6"/>
  <c r="B11" i="6"/>
  <c r="C10" i="6"/>
  <c r="B21" i="6"/>
  <c r="C21" i="6"/>
  <c r="C11" i="6"/>
  <c r="D10" i="6"/>
  <c r="C20" i="6"/>
  <c r="M38" i="10"/>
  <c r="M33" i="10"/>
  <c r="N9" i="10"/>
  <c r="B20" i="6"/>
  <c r="D21" i="6"/>
  <c r="D11" i="6"/>
  <c r="D6" i="1"/>
  <c r="C6" i="1"/>
  <c r="M39" i="10" l="1"/>
  <c r="N38" i="10"/>
  <c r="N33" i="10"/>
  <c r="N39" i="10" s="1"/>
  <c r="N54" i="10" s="1"/>
  <c r="N65" i="10" s="1"/>
  <c r="O9" i="10"/>
  <c r="E6" i="1"/>
  <c r="K65" i="10"/>
  <c r="K55" i="10"/>
  <c r="L55" i="10" s="1"/>
  <c r="I67" i="10"/>
  <c r="J66" i="10"/>
  <c r="K66" i="10" l="1"/>
  <c r="J67" i="10"/>
  <c r="O33" i="10"/>
  <c r="O38" i="10"/>
  <c r="P9" i="10"/>
  <c r="M54" i="10"/>
  <c r="L66" i="10" l="1"/>
  <c r="K67" i="10"/>
  <c r="M65" i="10"/>
  <c r="M55" i="10"/>
  <c r="N55" i="10" s="1"/>
  <c r="P38" i="10"/>
  <c r="P33" i="10"/>
  <c r="Q9" i="10"/>
  <c r="O39" i="10"/>
  <c r="Q38" i="10" l="1"/>
  <c r="Q33" i="10"/>
  <c r="Q39" i="10" s="1"/>
  <c r="Q54" i="10" s="1"/>
  <c r="Q65" i="10" s="1"/>
  <c r="R9" i="10"/>
  <c r="P39" i="10"/>
  <c r="P54" i="10" s="1"/>
  <c r="P65" i="10" s="1"/>
  <c r="O54" i="10"/>
  <c r="M66" i="10"/>
  <c r="L67" i="10"/>
  <c r="M67" i="10" l="1"/>
  <c r="N66" i="10"/>
  <c r="R38" i="10"/>
  <c r="R33" i="10"/>
  <c r="S9" i="10"/>
  <c r="O65" i="10"/>
  <c r="O55" i="10"/>
  <c r="P55" i="10" s="1"/>
  <c r="Q55" i="10" s="1"/>
  <c r="S33" i="10" l="1"/>
  <c r="T9" i="10"/>
  <c r="S38" i="10"/>
  <c r="C38" i="10" s="1"/>
  <c r="C15" i="8"/>
  <c r="R39" i="10"/>
  <c r="R54" i="10" s="1"/>
  <c r="R65" i="10" s="1"/>
  <c r="N67" i="10"/>
  <c r="O66" i="10"/>
  <c r="R55" i="10" l="1"/>
  <c r="F15" i="8"/>
  <c r="O67" i="10"/>
  <c r="P66" i="10"/>
  <c r="C31" i="11"/>
  <c r="C31" i="7"/>
  <c r="U9" i="10"/>
  <c r="T38" i="10"/>
  <c r="T33" i="10"/>
  <c r="S39" i="10"/>
  <c r="C33" i="10"/>
  <c r="C26" i="11" l="1"/>
  <c r="B69" i="11" s="1"/>
  <c r="B10" i="8"/>
  <c r="E10" i="8"/>
  <c r="E11" i="8" s="1"/>
  <c r="D10" i="8"/>
  <c r="D11" i="8" s="1"/>
  <c r="C26" i="7"/>
  <c r="C10" i="8"/>
  <c r="C11" i="8" s="1"/>
  <c r="S54" i="10"/>
  <c r="C39" i="10"/>
  <c r="Q66" i="10"/>
  <c r="P67" i="10"/>
  <c r="T39" i="10"/>
  <c r="U38" i="10"/>
  <c r="U33" i="10"/>
  <c r="U39" i="10" s="1"/>
  <c r="U54" i="10" s="1"/>
  <c r="U65" i="10" s="1"/>
  <c r="V9" i="10"/>
  <c r="V38" i="10" l="1"/>
  <c r="V33" i="10"/>
  <c r="V39" i="10" s="1"/>
  <c r="V54" i="10" s="1"/>
  <c r="V65" i="10" s="1"/>
  <c r="W9" i="10"/>
  <c r="E14" i="8"/>
  <c r="E16" i="8"/>
  <c r="C22" i="1"/>
  <c r="E12" i="8"/>
  <c r="D22" i="1" s="1"/>
  <c r="R66" i="10"/>
  <c r="Q67" i="10"/>
  <c r="F10" i="8"/>
  <c r="F11" i="8" s="1"/>
  <c r="B11" i="8"/>
  <c r="C32" i="11"/>
  <c r="B65" i="11" s="1"/>
  <c r="B66" i="11" s="1"/>
  <c r="B68" i="11" s="1"/>
  <c r="B7" i="9"/>
  <c r="B13" i="8"/>
  <c r="D13" i="8"/>
  <c r="D14" i="8" s="1"/>
  <c r="C13" i="8"/>
  <c r="C14" i="8" s="1"/>
  <c r="E13" i="8"/>
  <c r="C32" i="7"/>
  <c r="S65" i="10"/>
  <c r="C65" i="10" s="1"/>
  <c r="C54" i="10"/>
  <c r="S55" i="10"/>
  <c r="T55" i="10" s="1"/>
  <c r="U55" i="10" s="1"/>
  <c r="V55" i="10" s="1"/>
  <c r="C20" i="1"/>
  <c r="C12" i="8"/>
  <c r="D20" i="1" s="1"/>
  <c r="C16" i="8"/>
  <c r="T54" i="10"/>
  <c r="D16" i="8"/>
  <c r="C21" i="1"/>
  <c r="D12" i="8"/>
  <c r="D21" i="1" s="1"/>
  <c r="F13" i="8" l="1"/>
  <c r="E20" i="1"/>
  <c r="C17" i="8"/>
  <c r="C23" i="1"/>
  <c r="F14" i="8"/>
  <c r="F12" i="8"/>
  <c r="D23" i="1" s="1"/>
  <c r="F16" i="8"/>
  <c r="W33" i="10"/>
  <c r="W38" i="10"/>
  <c r="X9" i="10"/>
  <c r="B7" i="1"/>
  <c r="B9" i="9"/>
  <c r="T65" i="10"/>
  <c r="S66" i="10"/>
  <c r="R67" i="10"/>
  <c r="C47" i="11"/>
  <c r="C47" i="7"/>
  <c r="C57" i="11"/>
  <c r="B31" i="9"/>
  <c r="E17" i="8"/>
  <c r="E22" i="1"/>
  <c r="B14" i="8"/>
  <c r="C19" i="1"/>
  <c r="B16" i="8"/>
  <c r="B12" i="8"/>
  <c r="D19" i="1" s="1"/>
  <c r="C48" i="7"/>
  <c r="E21" i="1"/>
  <c r="D17" i="8"/>
  <c r="T66" i="10" l="1"/>
  <c r="C66" i="10"/>
  <c r="S67" i="10"/>
  <c r="E19" i="1"/>
  <c r="B17" i="8"/>
  <c r="W39" i="10"/>
  <c r="B51" i="8"/>
  <c r="B54" i="8" s="1"/>
  <c r="E23" i="1"/>
  <c r="F17" i="8"/>
  <c r="X38" i="10"/>
  <c r="X33" i="10"/>
  <c r="X39" i="10" s="1"/>
  <c r="X54" i="10" s="1"/>
  <c r="X65" i="10" s="1"/>
  <c r="Y9" i="10"/>
  <c r="B13" i="1"/>
  <c r="B12" i="9"/>
  <c r="B8" i="1"/>
  <c r="B15" i="1" s="1"/>
  <c r="W54" i="10" l="1"/>
  <c r="B14" i="9"/>
  <c r="B55" i="8"/>
  <c r="B56" i="8" s="1"/>
  <c r="Y38" i="10"/>
  <c r="Y33" i="10"/>
  <c r="Z9" i="10"/>
  <c r="C58" i="11"/>
  <c r="B33" i="9"/>
  <c r="B14" i="1" s="1"/>
  <c r="T67" i="10"/>
  <c r="U66" i="10"/>
  <c r="V66" i="10" l="1"/>
  <c r="U67" i="10"/>
  <c r="B24" i="9"/>
  <c r="B19" i="9"/>
  <c r="B10" i="1"/>
  <c r="Z38" i="10"/>
  <c r="Z33" i="10"/>
  <c r="AA9" i="10"/>
  <c r="W65" i="10"/>
  <c r="W55" i="10"/>
  <c r="X55" i="10" s="1"/>
  <c r="Y39" i="10"/>
  <c r="B20" i="9" l="1"/>
  <c r="B12" i="1"/>
  <c r="B21" i="9"/>
  <c r="B30" i="9"/>
  <c r="Z39" i="10"/>
  <c r="Z54" i="10" s="1"/>
  <c r="Z65" i="10" s="1"/>
  <c r="Y54" i="10"/>
  <c r="Y55" i="10"/>
  <c r="AA33" i="10"/>
  <c r="AA39" i="10" s="1"/>
  <c r="AA54" i="10" s="1"/>
  <c r="AA65" i="10" s="1"/>
  <c r="AA38" i="10"/>
  <c r="AB9" i="10"/>
  <c r="V67" i="10"/>
  <c r="W66" i="10"/>
  <c r="AB38" i="10" l="1"/>
  <c r="AB33" i="10"/>
  <c r="AC9" i="10"/>
  <c r="B32" i="9"/>
  <c r="Z55" i="10"/>
  <c r="AA55" i="10" s="1"/>
  <c r="Y65" i="10"/>
  <c r="W67" i="10"/>
  <c r="X66" i="10"/>
  <c r="AB39" i="10" l="1"/>
  <c r="AB54" i="10" s="1"/>
  <c r="AB65" i="10" s="1"/>
  <c r="X67" i="10"/>
  <c r="Y66" i="10"/>
  <c r="AC38" i="10"/>
  <c r="AC33" i="10"/>
  <c r="AC39" i="10" s="1"/>
  <c r="AD9" i="10"/>
  <c r="AB55" i="10"/>
  <c r="AC54" i="10" l="1"/>
  <c r="AE9" i="10"/>
  <c r="AD33" i="10"/>
  <c r="AD38" i="10"/>
  <c r="Y67" i="10"/>
  <c r="Z66" i="10"/>
  <c r="AC55" i="10"/>
  <c r="AA66" i="10" l="1"/>
  <c r="Z67" i="10"/>
  <c r="AD39" i="10"/>
  <c r="AD54" i="10" s="1"/>
  <c r="AD65" i="10" s="1"/>
  <c r="AE33" i="10"/>
  <c r="AE38" i="10"/>
  <c r="D38" i="10" s="1"/>
  <c r="AF9" i="10"/>
  <c r="C30" i="8"/>
  <c r="AC65" i="10"/>
  <c r="AD55" i="10" l="1"/>
  <c r="AF38" i="10"/>
  <c r="AF33" i="10"/>
  <c r="AG9" i="10"/>
  <c r="AE39" i="10"/>
  <c r="D33" i="10"/>
  <c r="F30" i="8"/>
  <c r="D31" i="11"/>
  <c r="D31" i="7"/>
  <c r="AB66" i="10"/>
  <c r="AA67" i="10"/>
  <c r="AB67" i="10" l="1"/>
  <c r="AC66" i="10"/>
  <c r="D26" i="11"/>
  <c r="E25" i="8"/>
  <c r="E26" i="8" s="1"/>
  <c r="D25" i="8"/>
  <c r="D26" i="8" s="1"/>
  <c r="C25" i="8"/>
  <c r="C26" i="8" s="1"/>
  <c r="D26" i="7"/>
  <c r="B25" i="8"/>
  <c r="AE54" i="10"/>
  <c r="D39" i="10"/>
  <c r="AG38" i="10"/>
  <c r="AH9" i="10"/>
  <c r="AG33" i="10"/>
  <c r="AG39" i="10" s="1"/>
  <c r="AG54" i="10" s="1"/>
  <c r="AG65" i="10" s="1"/>
  <c r="AF39" i="10"/>
  <c r="D31" i="8" l="1"/>
  <c r="D27" i="8"/>
  <c r="C27" i="8"/>
  <c r="C31" i="8"/>
  <c r="AI9" i="10"/>
  <c r="AH33" i="10"/>
  <c r="AH38" i="10"/>
  <c r="D32" i="11"/>
  <c r="B28" i="8"/>
  <c r="C7" i="9"/>
  <c r="D28" i="8"/>
  <c r="D29" i="8" s="1"/>
  <c r="D32" i="8" s="1"/>
  <c r="C28" i="8"/>
  <c r="C29" i="8" s="1"/>
  <c r="C32" i="8" s="1"/>
  <c r="D32" i="7"/>
  <c r="E28" i="8"/>
  <c r="E29" i="8" s="1"/>
  <c r="E32" i="8" s="1"/>
  <c r="AC67" i="10"/>
  <c r="AD66" i="10"/>
  <c r="E31" i="8"/>
  <c r="E27" i="8"/>
  <c r="AE65" i="10"/>
  <c r="D65" i="10" s="1"/>
  <c r="D54" i="10"/>
  <c r="AE55" i="10"/>
  <c r="AF54" i="10"/>
  <c r="F25" i="8"/>
  <c r="F26" i="8" s="1"/>
  <c r="B26" i="8"/>
  <c r="C7" i="1" l="1"/>
  <c r="C9" i="9"/>
  <c r="B29" i="8"/>
  <c r="B32" i="8" s="1"/>
  <c r="B31" i="8"/>
  <c r="B27" i="8"/>
  <c r="F27" i="8"/>
  <c r="F31" i="8"/>
  <c r="F28" i="8"/>
  <c r="F29" i="8" s="1"/>
  <c r="AF55" i="10"/>
  <c r="AG55" i="10" s="1"/>
  <c r="AD67" i="10"/>
  <c r="AE66" i="10"/>
  <c r="D47" i="11"/>
  <c r="D47" i="7"/>
  <c r="D48" i="7" s="1"/>
  <c r="AH39" i="10"/>
  <c r="AF65" i="10"/>
  <c r="D57" i="11"/>
  <c r="C31" i="9"/>
  <c r="AI33" i="10"/>
  <c r="AJ9" i="10"/>
  <c r="AI38" i="10"/>
  <c r="D66" i="10" l="1"/>
  <c r="AE67" i="10"/>
  <c r="AF66" i="10"/>
  <c r="C12" i="9"/>
  <c r="C8" i="1"/>
  <c r="C15" i="1" s="1"/>
  <c r="C51" i="8"/>
  <c r="C54" i="8" s="1"/>
  <c r="F32" i="8"/>
  <c r="AK9" i="10"/>
  <c r="AJ38" i="10"/>
  <c r="AJ33" i="10"/>
  <c r="AI39" i="10"/>
  <c r="AI54" i="10" s="1"/>
  <c r="AI65" i="10" s="1"/>
  <c r="AH54" i="10"/>
  <c r="C13" i="1"/>
  <c r="AJ39" i="10" l="1"/>
  <c r="AJ54" i="10" s="1"/>
  <c r="AJ65" i="10" s="1"/>
  <c r="C14" i="9"/>
  <c r="C55" i="8"/>
  <c r="C56" i="8" s="1"/>
  <c r="AK38" i="10"/>
  <c r="AK33" i="10"/>
  <c r="AK39" i="10" s="1"/>
  <c r="AK54" i="10" s="1"/>
  <c r="AK65" i="10" s="1"/>
  <c r="AL9" i="10"/>
  <c r="AF67" i="10"/>
  <c r="AG66" i="10"/>
  <c r="AH65" i="10"/>
  <c r="AH55" i="10"/>
  <c r="AI55" i="10" s="1"/>
  <c r="D58" i="11"/>
  <c r="C33" i="9"/>
  <c r="C14" i="1" s="1"/>
  <c r="AJ55" i="10" l="1"/>
  <c r="AK55" i="10"/>
  <c r="C19" i="9"/>
  <c r="C24" i="9"/>
  <c r="C10" i="1"/>
  <c r="AG67" i="10"/>
  <c r="AH66" i="10"/>
  <c r="AL38" i="10"/>
  <c r="AL33" i="10"/>
  <c r="AM9" i="10"/>
  <c r="AL39" i="10" l="1"/>
  <c r="AL54" i="10" s="1"/>
  <c r="AL65" i="10" s="1"/>
  <c r="AM33" i="10"/>
  <c r="AM39" i="10" s="1"/>
  <c r="AM54" i="10" s="1"/>
  <c r="AM65" i="10" s="1"/>
  <c r="AM38" i="10"/>
  <c r="AN9" i="10"/>
  <c r="C30" i="9"/>
  <c r="C12" i="1"/>
  <c r="C21" i="9"/>
  <c r="C20" i="9"/>
  <c r="AI66" i="10"/>
  <c r="AH67" i="10"/>
  <c r="AL55" i="10"/>
  <c r="C32" i="9" l="1"/>
  <c r="AM55" i="10"/>
  <c r="AJ66" i="10"/>
  <c r="AI67" i="10"/>
  <c r="AN33" i="10"/>
  <c r="AN38" i="10"/>
  <c r="AO9" i="10"/>
  <c r="AO38" i="10" l="1"/>
  <c r="AP9" i="10"/>
  <c r="AO33" i="10"/>
  <c r="AO39" i="10" s="1"/>
  <c r="AO54" i="10" s="1"/>
  <c r="AO65" i="10" s="1"/>
  <c r="AN39" i="10"/>
  <c r="AN54" i="10" s="1"/>
  <c r="AN65" i="10" s="1"/>
  <c r="AJ67" i="10"/>
  <c r="AK66" i="10"/>
  <c r="AQ9" i="10" l="1"/>
  <c r="AP38" i="10"/>
  <c r="AP33" i="10"/>
  <c r="AP39" i="10" s="1"/>
  <c r="AP54" i="10" s="1"/>
  <c r="AP65" i="10" s="1"/>
  <c r="AN55" i="10"/>
  <c r="AO55" i="10" s="1"/>
  <c r="AL66" i="10"/>
  <c r="AK67" i="10"/>
  <c r="AL67" i="10" l="1"/>
  <c r="AM66" i="10"/>
  <c r="AP55" i="10"/>
  <c r="AQ33" i="10"/>
  <c r="AQ38" i="10"/>
  <c r="E38" i="10" s="1"/>
  <c r="C45" i="8"/>
  <c r="F45" i="8" l="1"/>
  <c r="E31" i="11"/>
  <c r="E31" i="7"/>
  <c r="F38" i="10"/>
  <c r="AM67" i="10"/>
  <c r="AN66" i="10"/>
  <c r="AQ39" i="10"/>
  <c r="E33" i="10"/>
  <c r="AQ54" i="10" l="1"/>
  <c r="E39" i="10"/>
  <c r="AN67" i="10"/>
  <c r="AO66" i="10"/>
  <c r="F31" i="11"/>
  <c r="F31" i="7"/>
  <c r="E26" i="11"/>
  <c r="C40" i="8"/>
  <c r="C41" i="8" s="1"/>
  <c r="B40" i="8"/>
  <c r="D40" i="8"/>
  <c r="D41" i="8" s="1"/>
  <c r="E40" i="8"/>
  <c r="E41" i="8" s="1"/>
  <c r="E26" i="7"/>
  <c r="F33" i="10"/>
  <c r="E46" i="8" l="1"/>
  <c r="E42" i="8"/>
  <c r="D46" i="8"/>
  <c r="D42" i="8"/>
  <c r="E32" i="11"/>
  <c r="D43" i="8"/>
  <c r="D44" i="8" s="1"/>
  <c r="D47" i="8" s="1"/>
  <c r="D7" i="9"/>
  <c r="C43" i="8"/>
  <c r="C44" i="8" s="1"/>
  <c r="C47" i="8" s="1"/>
  <c r="E32" i="7"/>
  <c r="B43" i="8"/>
  <c r="E43" i="8"/>
  <c r="E44" i="8" s="1"/>
  <c r="E47" i="8" s="1"/>
  <c r="F39" i="10"/>
  <c r="F26" i="11"/>
  <c r="F26" i="7"/>
  <c r="AO67" i="10"/>
  <c r="AP66" i="10"/>
  <c r="F40" i="8"/>
  <c r="F41" i="8" s="1"/>
  <c r="B41" i="8"/>
  <c r="AQ65" i="10"/>
  <c r="E65" i="10" s="1"/>
  <c r="E54" i="10"/>
  <c r="AQ55" i="10"/>
  <c r="C42" i="8"/>
  <c r="C46" i="8"/>
  <c r="E47" i="11" l="1"/>
  <c r="E47" i="7"/>
  <c r="F54" i="10"/>
  <c r="F32" i="11"/>
  <c r="F32" i="7"/>
  <c r="B44" i="8"/>
  <c r="B47" i="8" s="1"/>
  <c r="B42" i="8"/>
  <c r="B46" i="8"/>
  <c r="F43" i="8"/>
  <c r="F44" i="8" s="1"/>
  <c r="E57" i="11"/>
  <c r="D31" i="9"/>
  <c r="F65" i="10"/>
  <c r="F57" i="11" s="1"/>
  <c r="F42" i="8"/>
  <c r="F46" i="8"/>
  <c r="E48" i="7"/>
  <c r="AP67" i="10"/>
  <c r="AQ66" i="10"/>
  <c r="D7" i="1"/>
  <c r="D9" i="9"/>
  <c r="E7" i="9"/>
  <c r="E7" i="1" s="1"/>
  <c r="D51" i="8" l="1"/>
  <c r="D54" i="8" s="1"/>
  <c r="F47" i="8"/>
  <c r="F47" i="11"/>
  <c r="F47" i="7"/>
  <c r="F48" i="7"/>
  <c r="D12" i="9"/>
  <c r="D8" i="1"/>
  <c r="D15" i="1" s="1"/>
  <c r="E9" i="9"/>
  <c r="E8" i="1" s="1"/>
  <c r="E15" i="1" s="1"/>
  <c r="AQ67" i="10"/>
  <c r="E66" i="10"/>
  <c r="F66" i="10"/>
  <c r="D13" i="1"/>
  <c r="E31" i="9"/>
  <c r="E13" i="1" s="1"/>
  <c r="D13" i="9" l="1"/>
  <c r="D14" i="9" s="1"/>
  <c r="D55" i="8"/>
  <c r="E12" i="9"/>
  <c r="F58" i="11"/>
  <c r="B34" i="9"/>
  <c r="E58" i="11"/>
  <c r="D33" i="9"/>
  <c r="D14" i="1" s="1"/>
  <c r="F67" i="10"/>
  <c r="F60" i="11"/>
  <c r="D56" i="8"/>
  <c r="D19" i="9" l="1"/>
  <c r="D10" i="1"/>
  <c r="D24" i="9"/>
  <c r="E14" i="9"/>
  <c r="E10" i="1" s="1"/>
  <c r="F59" i="11"/>
  <c r="B35" i="9"/>
  <c r="D26" i="9"/>
  <c r="E26" i="9" s="1"/>
  <c r="E13" i="9"/>
  <c r="D30" i="9" l="1"/>
  <c r="E24" i="9"/>
  <c r="D12" i="1"/>
  <c r="D21" i="9"/>
  <c r="E19" i="9"/>
  <c r="D20" i="9"/>
  <c r="E12" i="1" l="1"/>
  <c r="E21" i="9"/>
  <c r="D32" i="9"/>
  <c r="E32" i="9" s="1"/>
  <c r="E30" i="9"/>
</calcChain>
</file>

<file path=xl/sharedStrings.xml><?xml version="1.0" encoding="utf-8"?>
<sst xmlns="http://schemas.openxmlformats.org/spreadsheetml/2006/main" count="745" uniqueCount="535">
  <si>
    <t>TamCar — Résultat complet : démarrage, recettes, charges, marge, résultat (FCFA)</t>
  </si>
  <si>
    <t>Flotte : 1 tricycle + 5 motos de TamCar + 9 voitures d'Afrik Group (6 Essentiel, 3 Confort) + au minimum 6 voitures de tiers (3 Essentiel, 3 Confort) recrutées entre le mois 4 et le mois 12. Recettes aux planchers de Mayeul, au taux d'atteinte de la feuille Hypothèses (ligne 94). Levée de 15 M. Lancement en janvier 2027 (mois 1).</t>
  </si>
  <si>
    <t>Chiffres clés</t>
  </si>
  <si>
    <t>Année 1</t>
  </si>
  <si>
    <t>Année 2</t>
  </si>
  <si>
    <t>Année 3</t>
  </si>
  <si>
    <t>Total 3 ans</t>
  </si>
  <si>
    <t>Démarrage (mois 0, avant l'année 1)</t>
  </si>
  <si>
    <t>Recettes de TamCar</t>
  </si>
  <si>
    <t>Charges d'exploitation (fonctionnement + mise en circulation)</t>
  </si>
  <si>
    <t>Excédent brut d'exploitation</t>
  </si>
  <si>
    <t>Amortissements et frais de démarrage</t>
  </si>
  <si>
    <t>Résultat net — modèle</t>
  </si>
  <si>
    <t>Gadgets et gestes commerciaux (à confirmer)</t>
  </si>
  <si>
    <t>Résultat net après charges à confirmer</t>
  </si>
  <si>
    <t>Variation de la caisse (démarrage inclus en année 1)</t>
  </si>
  <si>
    <t>Caisse en fin d'année (levée comprise)</t>
  </si>
  <si>
    <t>Marge d'exploitation (excédent brut ÷ recettes)</t>
  </si>
  <si>
    <t>Marge directe par catégorie, année 1</t>
  </si>
  <si>
    <t>Catégorie</t>
  </si>
  <si>
    <t>Recettes</t>
  </si>
  <si>
    <t>Marge directe</t>
  </si>
  <si>
    <t>Taux de marge</t>
  </si>
  <si>
    <t>Résultat par catégorie</t>
  </si>
  <si>
    <t>Motos (5 de TamCar + tiers)</t>
  </si>
  <si>
    <t>Tricycle (1 de TamCar + tiers)</t>
  </si>
  <si>
    <t>Voitures Essentiel (Afrik Group + tiers)</t>
  </si>
  <si>
    <t>Voitures Confort (Afrik Group + tiers)</t>
  </si>
  <si>
    <t>Total</t>
  </si>
  <si>
    <t>Comment lire ce classeur</t>
  </si>
  <si>
    <t>Résultat (vue économique) : l'achat des véhicules est étalé (moto 12 mois, tricycle 36 mois), les frais de démarrage sont passés en charges et le matériel est amorti sur 36 mois ; la caution du bureau n'est pas une charge. La caisse compte, elle, les décaissements réels : voir « Passage du résultat à la caisse » dans la feuille Résultat (contrôle à 0).</t>
  </si>
  <si>
    <t>Recettes aux planchers : seules les courses jusqu'au plancher de Mayeul sont comptées. Tout volume au-dessus du plancher s'ajoute aux recettes. Le premier mois de lancement (et le mois d'arrivée d'un véhicule) compte pour moitié. Part de TamCar : 25 % sur les voitures, 55 % sur le tricycle de TamCar, objectif du jour de 3 500 F sur les motos de TamCar (décision du 2026-10-18). Planchers corrigés le 2026-10-20 : volume = objectif ÷ 60 % ; la cotisation TamAssur (1 000 F par jour et par véhicule sous contrat) est déduite des recettes : elle est financée par la part de TamCar.</t>
  </si>
  <si>
    <t>Charges à confirmer (gadgets des meilleurs, gestes commerciaux) : hypothèses de travail, modifiables dans Hypothèses (lignes 90 à 92). Les mettre à 0 les exclut ; le « résultat net — modèle » ne les contient pas.</t>
  </si>
  <si>
    <t>Non inclus : frais FeexPay (1,7 % payés par le client en plus), frais Mobile Money des retraits chauffeur (à décider), forfait internet des chauffeurs (idée non décidée), charges sociales, entretien (à la charge du conducteur), bonus de performance (neutre aux planchers). Le manque au rachat NSIA est compté (estimation à confirmer).</t>
  </si>
  <si>
    <t>Cellules en bleu sur fond jaune (feuille Hypothèses) : à modifier ; tout le reste se recalcule. Le taux d'atteinte des planchers et les véhicules de tiers se règlent aux lignes 94 à 102. La feuille Seuils garde le résultat de simulations (valeurs figées, avec leur date).</t>
  </si>
  <si>
    <t>TamCar — Seuils de pilotage : que devient l'entreprise si les chauffeurs ne font qu'une partie des planchers ? (FCFA)</t>
  </si>
  <si>
    <t>Valeurs FIGÉES au 2026-10-20, calculées avec les hypothèses de la feuille Hypothèses (décisions du 2026-10-18 et du 2026-10-20) par le moteur simulation_v2.py, contrôlé contre le classeur lui-même (écart nul). Si les hypothèses changent, relancer projections_v2.py. Le taux d'atteinte est réglable en direct : feuille Hypothèses, ligne 94.</t>
  </si>
  <si>
    <t>A. Flotte actuelle seule (1 tricycle + 5 motos + 9 voitures d'Afrik Group), sans véhicule de tiers</t>
  </si>
  <si>
    <t>Taux d'atteinte des planchers</t>
  </si>
  <si>
    <t>Excédent brut an 1</t>
  </si>
  <si>
    <t>an 2</t>
  </si>
  <si>
    <t>an 3</t>
  </si>
  <si>
    <t>Résultat net an 1</t>
  </si>
  <si>
    <t>Caisse fin an 1</t>
  </si>
  <si>
    <t>Point bas de la caisse</t>
  </si>
  <si>
    <t>Mois de caisse négative</t>
  </si>
  <si>
    <t>Seuils (taux d'atteinte minimal) :</t>
  </si>
  <si>
    <t>excédent brut ≥ 0 aux années 2 et 3 : 103% ; résultat net ≥ 0 : 106% (après gadgets et gestes : 113%) ; caisse fin an 3 ≥ 0 : 76%</t>
  </si>
  <si>
    <t>B. Avec le minimum décidé : 3 Essentiel + 3 Confort de tiers, arrivées étalées du mois 4 au mois 12</t>
  </si>
  <si>
    <t>excédent brut ≥ 0 aux années 2 et 3 : 78% ; résultat net ≥ 0 : 79% (après gadgets et gestes : 83%) ; caisse fin an 3 ≥ 0 : 64%</t>
  </si>
  <si>
    <t>C. Valeur mensuelle nette d'un véhicule de tiers en régime établi (après part du responsable des opérations et postes vacants), FCFA par mois</t>
  </si>
  <si>
    <t>Véhicule de tiers</t>
  </si>
  <si>
    <t>à 70 % des planchers</t>
  </si>
  <si>
    <t>à 100 %</t>
  </si>
  <si>
    <t>Frais d'entrée (une fois)</t>
  </si>
  <si>
    <t>Moto</t>
  </si>
  <si>
    <t>Tricycle</t>
  </si>
  <si>
    <t>Essentiel</t>
  </si>
  <si>
    <t>Confort</t>
  </si>
  <si>
    <t>D. Combien de véhicules de tiers (d'un seul type) pour un excédent d'exploitation ET un flux de caisse positifs chaque mois dès le mois 13</t>
  </si>
  <si>
    <t>Arrivées étalées du mois 4 au mois 12 ; ANATT, impôt minimum et patente mis en réserve chaque mois. Sans économies ni développeur à mi-temps.</t>
  </si>
  <si>
    <t>Motos</t>
  </si>
  <si>
    <t>Tricycles</t>
  </si>
  <si>
    <t>E. Flottes types de véhicules de tiers (en plus de la flotte actuelle)</t>
  </si>
  <si>
    <t>Flotte de tiers</t>
  </si>
  <si>
    <t>Taux</t>
  </si>
  <si>
    <t>Caisse fin an 3</t>
  </si>
  <si>
    <t>Point bas</t>
  </si>
  <si>
    <t>Chaque mois positif dès le mois 13 ?</t>
  </si>
  <si>
    <t>3 Essentiel + 3 Confort</t>
  </si>
  <si>
    <t>oui</t>
  </si>
  <si>
    <t>non</t>
  </si>
  <si>
    <t>6 Essentiel</t>
  </si>
  <si>
    <t>5 Essentiel + 5 Confort</t>
  </si>
  <si>
    <t>10 motos + 3 tricycles + 2 Essentiel</t>
  </si>
  <si>
    <t>Lecture : « 70 % des planchers » ne veut pas dire « au vert ». Avec les 6 véhicules de tiers, la caisse reste positive 3 ans à 70 % (la levée de 15 M absorbe l'écart), mais l'excédent d'exploitation est négatif ; sans eux, la caisse devient négative.</t>
  </si>
  <si>
    <t>Les recettes sont celles des planchers corrigés le 2026-10-20 (objectif du jour tout compris ÷ 60 %) : tout volume au-dessus d'un plancher s'ajoute. Le risque principal est la vacance des véhicules et le non-recouvrement des dettes.</t>
  </si>
  <si>
    <t>La cotisation TamAssur (1 000 F par jour et par véhicule sous contrat) est comprise dans l'objectif du jour : elle est financée par la part de TamCar (déduite des recettes, elle ne baisse pas quand le taux d'atteinte baisse). Le manque au rachat NSIA à l'ouverture du premier palier est compté (29 000 F par moto à 12 mois, 48 000 F par autre véhicule à 24 mois : estimations à confirmer par NSIA).</t>
  </si>
  <si>
    <t>Hypothèse à confirmer : un tricycle ou une moto de tiers rapporte 25 % du volume plancher à TamCar (même partage 30/20/5/5 que les voitures), moins la cotisation TamAssur.</t>
  </si>
  <si>
    <t>Non modélisés : paliers de retrait de 36 mois et plus (supposés sans manque pour TamCar), supervision au-delà de 20 véhicules, amortissement de l'apport en nature (22,5 M), frais FeexPay.</t>
  </si>
  <si>
    <t>TamCar — Ce qui change entre le classeur v1 (2026-10-11) et le classeur v2 (2026-10-18, corrigé le 2026-10-20)</t>
  </si>
  <si>
    <t>Décision</t>
  </si>
  <si>
    <t>Date</t>
  </si>
  <si>
    <t>Avant (v1)</t>
  </si>
  <si>
    <t>Après (v2)</t>
  </si>
  <si>
    <t>Où dans le classeur</t>
  </si>
  <si>
    <t>Fonds de rachat ramené de 10 % à 5 % ; les 5 points retirés vont à TamCar</t>
  </si>
  <si>
    <t>2026-10-18</t>
  </si>
  <si>
    <t>Voitures : 23 % puis 22 % puis 20 % du volume ; tricycle 53 % puis 52 %</t>
  </si>
  <si>
    <t>Voitures : 25 % jusqu'à la cession ; tricycle de TamCar : 55 %</t>
  </si>
  <si>
    <t>Hypothèses B62, B63, B71, B72</t>
  </si>
  <si>
    <t>Durée des contrats : Essentiel 3 ans, Confort 4 ans (VIP 5 ans, non compté)</t>
  </si>
  <si>
    <t>Essentiel 24 mois, Confort 36 mois</t>
  </si>
  <si>
    <t>Essentiel 36 mois, Confort 48 mois</t>
  </si>
  <si>
    <t>Hypothèses B65, B66</t>
  </si>
  <si>
    <t>Plus d'avance de démarrage remboursable ; TamCar dépense 30 000 F par véhicule déployé</t>
  </si>
  <si>
    <t>2026-10-11 / 2026-10-18</t>
  </si>
  <si>
    <t>Avance de 100 000 F par voiture remboursée au mois 13 (900 000 F)</t>
  </si>
  <si>
    <t>Frais d'entrée de 30 000 F par véhicule (450 000 F au mois 1 pour 15 véhicules), aucune sortie au mois 13</t>
  </si>
  <si>
    <t>Hypothèses B67, B101 ; Mensuel ligne 37</t>
  </si>
  <si>
    <t>GPS / tracker, assurance et entretien des voitures à la charge du propriétaire</t>
  </si>
  <si>
    <t>Déjà l'hypothèse pour les voitures</t>
  </si>
  <si>
    <t>Confirmé</t>
  </si>
  <si>
    <t>Hypothèses B68</t>
  </si>
  <si>
    <t>Recrutement d'au minimum 6 voitures de tiers (3 Essentiel + 3 Confort) entre le mois 4 et le mois 12</t>
  </si>
  <si>
    <t>Aucune voiture de tiers</t>
  </si>
  <si>
    <t>Comptées dans les recettes, le responsable des opérations (3 % du volume), les postes vacants et les frais d'entrée</t>
  </si>
  <si>
    <t>Hypothèses B95 à B100 ; Mensuel lignes 87 à 96</t>
  </si>
  <si>
    <t>Taux d'atteinte des planchers, levier de pilotage</t>
  </si>
  <si>
    <t>Planchers atteints à 100 % seulement</t>
  </si>
  <si>
    <t>Réglable (100 % par défaut) ; la feuille Seuils fige les résultats de 100 % à 50 %</t>
  </si>
  <si>
    <t>Hypothèses B94 ; feuille Seuils</t>
  </si>
  <si>
    <t>Objectif quotidien « tout compris » pour les chauffeurs (moto 3 500 F : versement 2 500 F + cotisation TamAssur 1 000 F)</t>
  </si>
  <si>
    <t>2026-10-15</t>
  </si>
  <si>
    <t>Versement de 2 500 F pour la moto</t>
  </si>
  <si>
    <t>Objectif du jour de 3 500 F tout compris (versement 2 500 F + TamAssur 1 000 F) ; voir la correction du 2026-10-20 ci-dessous</t>
  </si>
  <si>
    <t>Hypothèses B75, B80</t>
  </si>
  <si>
    <t>Planchers de recettes corrigés : objectif du jour tout compris ÷ 60 % (le conducteur a déjà pris ses 40 %)</t>
  </si>
  <si>
    <t>2026-10-20</t>
  </si>
  <si>
    <t>Tricycle 8 333 F, moto 4 167 F, Essentiel 12 000 F, Confort 15 000 F (versement ÷ 60 %)</t>
  </si>
  <si>
    <t>Tricycle 10 000 F, moto 5 850 F, Essentiel 13 700 F, Confort 16 700 F (VIP aligné sur le Confort)</t>
  </si>
  <si>
    <t>Hypothèses B45, B46, B60, B61, B75</t>
  </si>
  <si>
    <t>La cotisation TamAssur (1 000 F par jour et par véhicule) est comprise dans l'objectif du jour : elle est financée par la part de TamCar, plus par le conducteur en plus de son versement</t>
  </si>
  <si>
    <t>Cotisation reversée à NSIA sans effet sur la caisse (le conducteur la paie en plus du versement) ; seul le coût des postes vacants est compté</t>
  </si>
  <si>
    <t>Cotisation déduite des recettes de chaque véhicule sous contrat (voitures, tricycle, moto pendant ses 12 mois) ; fixe, elle ne baisse pas avec le taux d'atteinte</t>
  </si>
  <si>
    <t>Hypothèses B103 ; Mensuel lignes 98 à 102 ; recettes lignes 58 à 61</t>
  </si>
  <si>
    <t>Épargne garantie TamAssur par paliers annuels alignés sur la durée du contrat (moto 12 mois : 250 000 F ; autres 24 mois : 500 000 F puis 250 000 F par année)</t>
  </si>
  <si>
    <t>Manque au rachat NSIA non modélisé</t>
  </si>
  <si>
    <t>Manque estimé à l'ouverture du premier palier : 29 000 F par moto (12 mois), 48 000 F par autre véhicule (24 mois) ; paliers suivants supposés sans manque</t>
  </si>
  <si>
    <t>Hypothèses B104, B105 ; Mensuel lignes 103 à 105</t>
  </si>
  <si>
    <t>Le classeur v1 est conservé tel quel dans archives/2026-10-11_classeur_resultat_complet_v1 ; le classeur v2 du 2026-10-18 (avant les planchers corrigés) dans archives/2026-10-20_plan_v6_planchers_precedents.</t>
  </si>
  <si>
    <t>TamCar — Hypothèses des charges (FCFA)</t>
  </si>
  <si>
    <t>Cellules en BLEU sur fond jaune : à modifier. Tout le reste se recalcule (feuilles Mensuel et Synthèse).</t>
  </si>
  <si>
    <t>Flotte achetée au mois 1 (les achats des mois suivants se saisissent dans la feuille Mensuel, lignes 7 et 8)</t>
  </si>
  <si>
    <t>Tricycles thermiques achetés au mois 1</t>
  </si>
  <si>
    <t>Formule retenue : 1 tricycle + 5 motos</t>
  </si>
  <si>
    <t>Motos électriques achetées au mois 1</t>
  </si>
  <si>
    <t>Achat des véhicules</t>
  </si>
  <si>
    <t>Prix d'un tricycle thermique</t>
  </si>
  <si>
    <t>Prix donné par Terence</t>
  </si>
  <si>
    <t>Acompte à l'achat du tricycle (% du prix)</t>
  </si>
  <si>
    <t>30 % comptant : à négocier avec le fournisseur</t>
  </si>
  <si>
    <t>Durée du solde du tricycle (mois)</t>
  </si>
  <si>
    <t>Solde en 12 mensualités sans intérêt : à négocier, pas encore accordé</t>
  </si>
  <si>
    <t>Prix d'une moto électrique (comptant)</t>
  </si>
  <si>
    <t>Prix comptant donné par Terence (500 000 au catalogue)</t>
  </si>
  <si>
    <t>Mise en circulation (par véhicule)</t>
  </si>
  <si>
    <t>Assurance + droit taxi + visite technique, tricycle (par an)</t>
  </si>
  <si>
    <t>Plafond « tout compris » donné par Terence ; payé à l'achat puis à chaque anniversaire (36 mois)</t>
  </si>
  <si>
    <t>Assurance + droit taxi + visite technique, moto (par an)</t>
  </si>
  <si>
    <t>Hypothèse du plan, à confirmer ; payé à l'achat (moto cédée au conducteur à 12 mois)</t>
  </si>
  <si>
    <t>Tracker GPS tricycle, première année</t>
  </si>
  <si>
    <t>Relevé de Terence du 24/07/2026</t>
  </si>
  <si>
    <t>Tracker GPS tricycle, renouvellement annuel</t>
  </si>
  <si>
    <t>Relevé de Terence ; payé aux mois 13 et 25 tant que TamCar est propriétaire</t>
  </si>
  <si>
    <t>Tracker GPS moto, première année</t>
  </si>
  <si>
    <t>Relevé de Terence ; pas de renouvellement (moto cédée à 12 mois)</t>
  </si>
  <si>
    <t>Démarrage (mois 0)</t>
  </si>
  <si>
    <t>Formalisation de la société</t>
  </si>
  <si>
    <t>Plan d'affaires, charges de démarrage arbitrées avec Terence</t>
  </si>
  <si>
    <t>ANATT (autorisation de transporteur)</t>
  </si>
  <si>
    <t>Juriste (contrats)</t>
  </si>
  <si>
    <t>Bureau de Cotonou (caution, aménagement)</t>
  </si>
  <si>
    <t>Matériel informatique et mobilier (2 bureaux)</t>
  </si>
  <si>
    <t>Marketing de lancement (photo, vidéo, sponsoring)</t>
  </si>
  <si>
    <t>Graphisme</t>
  </si>
  <si>
    <t>Fonctionnement (par mois, sauf indication)</t>
  </si>
  <si>
    <t>Secrétaire</t>
  </si>
  <si>
    <t>Plan d'affaires</t>
  </si>
  <si>
    <t>Infrastructure technique</t>
  </si>
  <si>
    <t>Plan d'affaires ; payée dès le mois 1</t>
  </si>
  <si>
    <t>Développeur</t>
  </si>
  <si>
    <t xml:space="preserve">   … à partir du mois</t>
  </si>
  <si>
    <t>Payé dès le mois 13</t>
  </si>
  <si>
    <t>Outil de développement (Claude Code)</t>
  </si>
  <si>
    <t>Plan d'affaires ; mois 1 à 12, ensuite inclus dans la rémunération du développeur</t>
  </si>
  <si>
    <t>Électricité et eau</t>
  </si>
  <si>
    <t>Loyer du bureau de Cotonou</t>
  </si>
  <si>
    <t>Assurance multirisque professionnelle</t>
  </si>
  <si>
    <t>Comptable (par trimestre, mois 3, 6, 9…)</t>
  </si>
  <si>
    <t>Juriste (par trimestre, mois 3, 6, 9…)</t>
  </si>
  <si>
    <t>Promotion de lancement (par mois)</t>
  </si>
  <si>
    <t xml:space="preserve">   … jusqu'au mois</t>
  </si>
  <si>
    <t>Mois 1 à 6</t>
  </si>
  <si>
    <t>Responsable des opérations : part du volume de courses</t>
  </si>
  <si>
    <t>Plan d'affaires : 3 % du volume de la ville</t>
  </si>
  <si>
    <t>Responsable des opérations : plafond mensuel</t>
  </si>
  <si>
    <t>Volume de courses par tricycle et par jour</t>
  </si>
  <si>
    <t>Objectif du jour du tricycle 6 000 F (versement 5 000 F + TamAssur 1 000 F) = 60 % du volume : 10 000 F (décision du 2026-10-20) ; sert au responsable des opérations</t>
  </si>
  <si>
    <t>Volume de courses par moto et par jour</t>
  </si>
  <si>
    <t>Objectif du jour de la moto 3 500 F (versement 2 500 F + TamAssur 1 000 F) = 60 % du volume : 5 850 F (décision du 2026-10-20)</t>
  </si>
  <si>
    <t>Jours travaillés par mois</t>
  </si>
  <si>
    <t>Plan d'affaires : dimanche non travaillé</t>
  </si>
  <si>
    <t>Renouvellement de l'autorisation ANATT (mois 13 et 25)</t>
  </si>
  <si>
    <t>Relevé du 24/07/2026 ; décision de Terence : renouvelée chaque année</t>
  </si>
  <si>
    <t>Impôt minimum sur les sociétés (mois 16 et 28)</t>
  </si>
  <si>
    <t>CGI 2026 : 250 000 + 4 000 de redevance ORTB, dû même en perte</t>
  </si>
  <si>
    <t>Patente : droit fixe (mois 13 et 25)</t>
  </si>
  <si>
    <t>CGI 2026 ; exonération des 12 premiers mois</t>
  </si>
  <si>
    <t>Patente : taux sur la valeur locative annuelle du bureau</t>
  </si>
  <si>
    <t>Cotonou : 17 % (loyer × 12)</t>
  </si>
  <si>
    <t>Financement</t>
  </si>
  <si>
    <t>Levée de fonds</t>
  </si>
  <si>
    <t>Plan d'affaires : 15 M</t>
  </si>
  <si>
    <t>Voitures mises à disposition (propriétaire : Afrik Group Consulting). Le VIP n'est pas compté.</t>
  </si>
  <si>
    <t>Voitures Essentiel</t>
  </si>
  <si>
    <t>Terence : 6 Essentiel, 3 Confort, 1 VIP (VIP exclu pour le moment)</t>
  </si>
  <si>
    <t>Voitures Confort</t>
  </si>
  <si>
    <t>Voitures disponibles dès le mois</t>
  </si>
  <si>
    <t>Hypothèse : dès le lancement</t>
  </si>
  <si>
    <t>Plancher de recettes par Essentiel et par jour</t>
  </si>
  <si>
    <t>Objectif du jour 8 200 F (versement 7 200 F + TamAssur 1 000 F) = 60 % du volume : 13 700 F ; le conducteur a déjà pris ses 40 % (décision du 2026-10-20)</t>
  </si>
  <si>
    <t>Plancher de recettes par Confort et par jour</t>
  </si>
  <si>
    <t>Objectif du jour 10 000 F (versement 9 000 F + TamAssur 1 000 F) = 60 % du volume : 16 700 F (décision du 2026-10-20)</t>
  </si>
  <si>
    <t>Part de TamCar sur le volume des voitures, première année</t>
  </si>
  <si>
    <t>20 % plateforme + 5 % : le fonds de rachat passe de 10 % à 5 % et les 5 points retirés vont à TamCar (décision du 2026-10-18) ; le propriétaire garde 30 % et reçoit le fonds de 5 % à la cession</t>
  </si>
  <si>
    <t>Part de TamCar sur le volume des voitures, jusqu'à la cession</t>
  </si>
  <si>
    <t>Idem : 20 % + 5 %</t>
  </si>
  <si>
    <t>Part de TamCar sur le volume, après la cession</t>
  </si>
  <si>
    <t>Commission de plateforme seule</t>
  </si>
  <si>
    <t>Durée du contrat Essentiel (mois)</t>
  </si>
  <si>
    <t>Terence (2026-10-18) : 3 ans pour l'Essentiel (Confort 4 ans, VIP 5 ans, non compté)</t>
  </si>
  <si>
    <t>Durée du contrat Confort (mois)</t>
  </si>
  <si>
    <t>Terence (2026-10-18) : 4 ans pour le Confort</t>
  </si>
  <si>
    <t>Avance de démarrage du propriétaire, par voiture (supprimée)</t>
  </si>
  <si>
    <t>Supprimée (décision du 2026-10-11) : TamCar avance les frais d'entrée (ligne 101), aucun remboursement au mois 13</t>
  </si>
  <si>
    <t>Assurance, trackers GPS, entretien des voitures</t>
  </si>
  <si>
    <t>à la charge du propriétaire</t>
  </si>
  <si>
    <t>À la charge du propriétaire, y compris le GPS / tracker (confirmé par Terence le 2026-10-18)</t>
  </si>
  <si>
    <t>Recettes de TamCar sur ses tricycles et ses motos (aux planchers de Mayeul)</t>
  </si>
  <si>
    <t>Part de TamCar sur le volume d'un tricycle, première année</t>
  </si>
  <si>
    <t>30 % propriétaire (TamCar) + 20 % plateforme + 5 % fonds de rachat qui revient à TamCar ; l'autre moitié du fonds (5 %) est le fonds du conducteur</t>
  </si>
  <si>
    <t>Part de TamCar sur le volume d'un tricycle, jusqu'à la cession</t>
  </si>
  <si>
    <t>Idem : 55 %</t>
  </si>
  <si>
    <t>Part de TamCar sur le volume d'un tricycle, après la cession</t>
  </si>
  <si>
    <t>Durée avant cession du tricycle (mois)</t>
  </si>
  <si>
    <t>Terence (2026-10-21) : 2 ans pour le tricycle (garantie TamAssur de 500 000 F à 24 mois, qui est aussi le terme) ; assurance et tracker payés à l'achat puis au 1er anniversaire seulement ; 20 % de commission ensuite</t>
  </si>
  <si>
    <t>Objectif du jour d'une moto de TamCar, tout compris (versement 2 500 F + TamAssur 1 000 F)</t>
  </si>
  <si>
    <t>Terence (2026-10-15) : 3 500 F par jour, 26 jours par mois, pendant 12 mois ; la cotisation TamAssur de 1 000 F est déduite plus bas (ligne 103) ; plus si l'app rapporte plus</t>
  </si>
  <si>
    <t>Durée avant cession de la moto (mois)</t>
  </si>
  <si>
    <t>Moto cédée au conducteur après 12 mois</t>
  </si>
  <si>
    <t>Commission de TamCar sur l'app après la cession de la moto</t>
  </si>
  <si>
    <t>Commission de plateforme seule sur le volume de la moto</t>
  </si>
  <si>
    <t>Épargne NSIA (TamAssur) : cotisation, postes vacants, manque au rachat</t>
  </si>
  <si>
    <t>Cotisation journalière par conducteur</t>
  </si>
  <si>
    <t>Cotisation payée à NSIA chaque jour par TamCar pour chaque conducteur sous contrat (ligne 103) ; le conducteur ne la verse PAS en plus : elle est comprise dans son objectif du jour, donc dans les 60 % du volume partagés entre propriétaire, fonds de rachat et TamCar</t>
  </si>
  <si>
    <t>Départs de conducteurs par an (% des conducteurs)</t>
  </si>
  <si>
    <t>Hypothèse de travail à confirmer</t>
  </si>
  <si>
    <t>Jours de vacance avant l'arrivée d'un remplaçant</t>
  </si>
  <si>
    <t>Hypothèse de travail à confirmer ; TamCar paie alors la cotisation de sa poche (poste vacant : aucune course, donc aucune part)</t>
  </si>
  <si>
    <t>Les charges sont séparées des recettes dans les feuilles Mensuel et Synthèse. Recettes = planchers de Mayeul (rien de plus sur l'app).</t>
  </si>
  <si>
    <t>Résultat comptable et charges à confirmer (ajout du 2026-10-11)</t>
  </si>
  <si>
    <t>Durée d'amortissement du matériel informatique et mobilier (mois)</t>
  </si>
  <si>
    <t>Hypothèse comptable : amorti sur 3 ans à partir du mois 1</t>
  </si>
  <si>
    <t>Taux d'impôt sur les sociétés</t>
  </si>
  <si>
    <t>CGI 2026 : 30 % ; à valider avec le comptable</t>
  </si>
  <si>
    <t>Années d'exonération d'impôt sur les sociétés (régime startup)</t>
  </si>
  <si>
    <t>Art. 147 du CGI : exonération 2 ans ; l'impôt minimum reste dû (déjà dans le fonctionnement)</t>
  </si>
  <si>
    <t>Gadgets des meilleurs : budget par tour de 6 mois</t>
  </si>
  <si>
    <t>À CONFIRMER : décision de principe du 11/10/2026 ; mettre 0 pour exclure</t>
  </si>
  <si>
    <t>Gadgets : premier tour payé au mois</t>
  </si>
  <si>
    <t>1er semestre 2027 clos fin juin, classement validé en juillet (mois 7), puis tous les 6 mois</t>
  </si>
  <si>
    <t>Gestes commerciaux par mois</t>
  </si>
  <si>
    <t>À CONFIRMER : hypothèse de travail (enveloppe de 50 000 à 100 000 F) ; mettre 0 pour exclure</t>
  </si>
  <si>
    <t>Pilotage et recrutement (ajout du 2026-10-18)</t>
  </si>
  <si>
    <t>Taux d'atteinte des planchers (100 % = planchers atteints)</t>
  </si>
  <si>
    <t>Tout le volume (versements des motos compris) est multiplié par ce taux. Mettre 70 % pour le scénario de référence de sécurité ; voir la feuille Seuils</t>
  </si>
  <si>
    <t>Voitures Essentiel de tiers à recruter (en plus des 6 d'Afrik Group)</t>
  </si>
  <si>
    <t>Décision du 2026-10-18 : au minimum 3 Essentiel + 3 Confort de tiers ; mettre 0 pour les exclure</t>
  </si>
  <si>
    <t>Voitures Confort de tiers à recruter (en plus des 3 d'Afrik Group)</t>
  </si>
  <si>
    <t>Idem</t>
  </si>
  <si>
    <t>Tricycles de tiers à recruter</t>
  </si>
  <si>
    <t>Option : un tricycle de tiers rapporte 25 % du volume plancher à TamCar (hypothèse à confirmer)</t>
  </si>
  <si>
    <t>Motos de tiers à recruter</t>
  </si>
  <si>
    <t>Option : une moto de tiers rapporte 25 % du volume plancher (hypothèse à confirmer) ; peu rentable</t>
  </si>
  <si>
    <t>Arrivée des véhicules de tiers : à partir du mois</t>
  </si>
  <si>
    <t>Les arrivées sont étalées régulièrement entre ce mois et le suivant</t>
  </si>
  <si>
    <t>… jusqu'au mois</t>
  </si>
  <si>
    <t>Le dernier véhicule arrive à ce mois</t>
  </si>
  <si>
    <t>Frais d'entrée par véhicule déployé (inspection, habillage, kit chauffeur)</t>
  </si>
  <si>
    <t>Décision du 2026-10-11 : TamCar dépense 30 000 F par véhicule ; compté à l'arrivée de chaque véhicule (15 au mois 1, puis les véhicules de tiers)</t>
  </si>
  <si>
    <t>Part de TamCar sur un tricycle ou une moto de tiers</t>
  </si>
  <si>
    <t>Même partage que les voitures : 30 % propriétaire, 20 % plateforme, 5 % fonds du conducteur, 5 % fonds qui revient à TamCar</t>
  </si>
  <si>
    <t>Cotisation TamAssur par jour et par véhicule sous contrat, financée par la part de TamCar (F)</t>
  </si>
  <si>
    <t>Reprend la ligne 80. Décision du 2026-10-20 : planchers « tout compris » ; la cotisation est prise sur la part de TamCar (25 % du volume pour une voiture), pas ajoutée au versement du conducteur. Déduite des recettes, ne varie pas avec le taux d'atteinte</t>
  </si>
  <si>
    <t>Manque au rachat NSIA à 12 mois, par moto (F)</t>
  </si>
  <si>
    <t>Estimation du 2026-10-15 : garantie 250 000 F contre un rachat net NSIA d'environ 221 000 F (85 % de l'épargne, pénalité 5 %). À confirmer par une simulation écrite de NSIA ; mettre 0 pour exclure</t>
  </si>
  <si>
    <t>Manque au rachat NSIA à 24 mois, par tricycle ou voiture (F)</t>
  </si>
  <si>
    <t>Estimation du 2026-10-15 : garantie 500 000 F contre un rachat net d'environ 452 000 F ; les paliers suivants (36, 48, 60 mois) sont supposés sans manque. À confirmer par NSIA ; mettre 0 pour exclure</t>
  </si>
  <si>
    <t>TamCar — Démarrage : ce qui est dépensé avant le lancement (mois 0), FCFA</t>
  </si>
  <si>
    <t>Montants repris de la feuille Hypothèses. Le traitement indiqué est celui du résultat (vue économique) ; en caisse, tout est décaissé au mois 0.</t>
  </si>
  <si>
    <t>Poste</t>
  </si>
  <si>
    <t>Montant</t>
  </si>
  <si>
    <t>Nature</t>
  </si>
  <si>
    <t>Traitement dans le résultat</t>
  </si>
  <si>
    <t>Passé en charges</t>
  </si>
  <si>
    <t>Immobilisé</t>
  </si>
  <si>
    <t>Amorti par an</t>
  </si>
  <si>
    <t>Frais juridiques</t>
  </si>
  <si>
    <t>Charge de l'an 1</t>
  </si>
  <si>
    <t>Autorisation administrative</t>
  </si>
  <si>
    <t>Charge de l'an 1 (renouvelée chaque année)</t>
  </si>
  <si>
    <t>Honoraires</t>
  </si>
  <si>
    <t>Dépôt de garantie et aménagement</t>
  </si>
  <si>
    <t>Ni charge ni amortissement (simplification : à préciser avec le comptable)</t>
  </si>
  <si>
    <t>Immobilisation</t>
  </si>
  <si>
    <t>Amorti sur la durée de la feuille Hypothèses (36 mois)</t>
  </si>
  <si>
    <t>Frais de lancement</t>
  </si>
  <si>
    <t>Frais de création</t>
  </si>
  <si>
    <t>TOTAL DU DÉMARRAGE</t>
  </si>
  <si>
    <t>Financement du démarrage</t>
  </si>
  <si>
    <t>Démarrage</t>
  </si>
  <si>
    <t>Part de la levée absorbée par le démarrage</t>
  </si>
  <si>
    <t>Caisse après le démarrage, avant tout achat de véhicule</t>
  </si>
  <si>
    <t>Mise de départ de la flotte (année 1, décaissements réels)</t>
  </si>
  <si>
    <t>Tricycles : acompte à l'achat</t>
  </si>
  <si>
    <t>Tricycles : mensualités du solde payées en année 1</t>
  </si>
  <si>
    <t>Motos : achat comptant</t>
  </si>
  <si>
    <t>Assurance, droit taxi, visite technique (tricycles et motos)</t>
  </si>
  <si>
    <t>Trackers GPS (tricycles et motos)</t>
  </si>
  <si>
    <t>Total flotte, année 1</t>
  </si>
  <si>
    <t>Les voitures (6 Essentiel, 3 Confort) appartiennent à Afrik Group : assurance, trackers GPS et entretien à la charge du propriétaire. TamCar avance 30 000 F de frais d'entrée par véhicule (pas d'avance remboursable).</t>
  </si>
  <si>
    <t>TamCar — Recettes de TamCar, FCFA (aux planchers de Mayeul : aucune course au-dessus du plancher n'est comptée)</t>
  </si>
  <si>
    <t>Le premier mois de lancement compte pour moitié. Source : feuille Mensuel.</t>
  </si>
  <si>
    <t>TOTAL DES RECETTES</t>
  </si>
  <si>
    <t>Évolution par rapport à l'année précédente</t>
  </si>
  <si>
    <t>Recette moyenne par mois</t>
  </si>
  <si>
    <t>Volume de courses et part de TamCar</t>
  </si>
  <si>
    <t>Volume de courses dans l'application (au plancher)</t>
  </si>
  <si>
    <t>VOLUME TOTAL</t>
  </si>
  <si>
    <t>Recette de TamCar en % du volume</t>
  </si>
  <si>
    <t>Part des voitures dans les recettes</t>
  </si>
  <si>
    <t>Planchers de recettes retenus (par véhicule et par jour travaillé)</t>
  </si>
  <si>
    <t>Tricycle : volume de courses</t>
  </si>
  <si>
    <t>Moto : volume de courses</t>
  </si>
  <si>
    <t>Moto : objectif du jour (dont TamAssur 1 000 F)</t>
  </si>
  <si>
    <t>Voiture Essentiel : recettes</t>
  </si>
  <si>
    <t>Voiture Confort : recettes</t>
  </si>
  <si>
    <t>Recettes de l'année 1, mois par mois</t>
  </si>
  <si>
    <t>Mois</t>
  </si>
  <si>
    <t>M1</t>
  </si>
  <si>
    <t>M2</t>
  </si>
  <si>
    <t>M3</t>
  </si>
  <si>
    <t>M4</t>
  </si>
  <si>
    <t>M5</t>
  </si>
  <si>
    <t>M6</t>
  </si>
  <si>
    <t>M7</t>
  </si>
  <si>
    <t>M8</t>
  </si>
  <si>
    <t>M9</t>
  </si>
  <si>
    <t>M10</t>
  </si>
  <si>
    <t>M11</t>
  </si>
  <si>
    <t>M12</t>
  </si>
  <si>
    <t>TOTAL</t>
  </si>
  <si>
    <t>TamCar — Charges, FCFA (décaissements réels, comme dans la caisse)</t>
  </si>
  <si>
    <t>Les amortissements et les charges à confirmer sont en bas : ils servent au résultat, pas à la caisse.</t>
  </si>
  <si>
    <t>DÉMARRAGE (mois 0)</t>
  </si>
  <si>
    <t>Sous-total démarrage</t>
  </si>
  <si>
    <t>FONCTIONNEMENT</t>
  </si>
  <si>
    <t>Sous-total fonctionnement</t>
  </si>
  <si>
    <t>ACHAT DES VÉHICULES</t>
  </si>
  <si>
    <t>Sous-total achat des véhicules</t>
  </si>
  <si>
    <t>MISE EN CIRCULATION (assurance, droit taxi, visite technique, trackers)</t>
  </si>
  <si>
    <t>Sous-total mise en circulation</t>
  </si>
  <si>
    <t>TOTAL DES CHARGES DÉCAISSÉES</t>
  </si>
  <si>
    <t>Contrôle : somme des quatre sous-totaux − total (doit être 0)</t>
  </si>
  <si>
    <t>NON DÉCAISSÉ OU NON CONFIRMÉ (pour le résultat)</t>
  </si>
  <si>
    <t>Amortissement des tricycles</t>
  </si>
  <si>
    <t>Amortissement des motos</t>
  </si>
  <si>
    <t>Amortissement du matériel informatique et mobilier</t>
  </si>
  <si>
    <t>Frais de démarrage passés en charges</t>
  </si>
  <si>
    <t>Gadgets des meilleurs — à confirmer</t>
  </si>
  <si>
    <t>Gestes commerciaux — à confirmer</t>
  </si>
  <si>
    <t>Non inclus : frais FeexPay (1,7 % payés par le client), frais Mobile Money des retraits chauffeur, forfait internet des chauffeurs, charges sociales, entretien (conducteur). La cotisation TamAssur est déduite des recettes ; le manque au rachat NSIA est compté dans l'épargne NSIA (estimation).</t>
  </si>
  <si>
    <t>TamCar — Marge par catégorie de véhicule, FCFA</t>
  </si>
  <si>
    <t>Marge directe = recettes − amortissement du véhicule − assurance/droits/trackers − part du responsable des opérations (3 % du volume, réparti selon le volume). Les autres charges de fonctionnement sont réparties au prorata des recettes.</t>
  </si>
  <si>
    <t>ANNÉE 1</t>
  </si>
  <si>
    <t>Amortissement du véhicule</t>
  </si>
  <si>
    <t>Assurance, droit taxi, visite technique</t>
  </si>
  <si>
    <t>Trackers GPS</t>
  </si>
  <si>
    <t>Responsable des opérations (3 % du volume)</t>
  </si>
  <si>
    <t>MARGE DIRECTE</t>
  </si>
  <si>
    <t>Taux de marge directe (% des recettes)</t>
  </si>
  <si>
    <t>Autres charges de fonctionnement (au prorata des recettes)</t>
  </si>
  <si>
    <t>RÉSULTAT PAR CATÉGORIE (avant démarrage, matériel, gadgets, gestes)</t>
  </si>
  <si>
    <t>Nombre de véhicules (moyenne de l'année)</t>
  </si>
  <si>
    <t>Marge directe par véhicule et par jour travaillé</t>
  </si>
  <si>
    <t>Résultat par véhicule et par jour travaillé</t>
  </si>
  <si>
    <t>ANNÉE 2</t>
  </si>
  <si>
    <t>ANNÉE 3</t>
  </si>
  <si>
    <t>RAPPROCHEMENT AVEC LE COMPTE DE RÉSULTAT</t>
  </si>
  <si>
    <t>Résultat par catégorie (total)</t>
  </si>
  <si>
    <t>Résultat d'exploitation calculé ici</t>
  </si>
  <si>
    <t>Résultat d'exploitation (feuille Résultat)</t>
  </si>
  <si>
    <t>Écart (doit être 0)</t>
  </si>
  <si>
    <t>TamCar — Compte de résultat et passage à la caisse, FCFA</t>
  </si>
  <si>
    <t>Vue économique : l'achat des véhicules est étalé, les frais de démarrage sont passés en charges dans l'année 1. Recettes aux planchers de Mayeul.</t>
  </si>
  <si>
    <t>COMPTE DE RÉSULTAT</t>
  </si>
  <si>
    <t>Recettes de TamCar (courses)</t>
  </si>
  <si>
    <t>Charges de fonctionnement</t>
  </si>
  <si>
    <t>Mise en circulation (assurance, droit taxi, visite technique, trackers)</t>
  </si>
  <si>
    <t>EXCÉDENT BRUT D'EXPLOITATION</t>
  </si>
  <si>
    <t>Amortissements (véhicules et matériel)</t>
  </si>
  <si>
    <t>RÉSULTAT D'EXPLOITATION (modèle)</t>
  </si>
  <si>
    <t>Impôt sur les sociétés (estimation : 30 %, exonéré les premières années, déficits reportés)</t>
  </si>
  <si>
    <t>RÉSULTAT NET — MODÈLE (sans charges à confirmer)</t>
  </si>
  <si>
    <t>CHARGES NON ENCORE CONFIRMÉES (hypothèses modifiables dans Hypothèses, lignes 90 à 92)</t>
  </si>
  <si>
    <t>Gadgets des meilleurs</t>
  </si>
  <si>
    <t>Gestes commerciaux</t>
  </si>
  <si>
    <t>RÉSULTAT NET APRÈS CHARGES À CONFIRMER</t>
  </si>
  <si>
    <t>Résultat net cumulé (après charges à confirmer)</t>
  </si>
  <si>
    <t>Marge nette (résultat net après charges à confirmer ÷ recettes)</t>
  </si>
  <si>
    <t>PASSAGE DU RÉSULTAT À LA CAISSE (modèle, sans charges à confirmer)</t>
  </si>
  <si>
    <t>+ Amortissements (non décaissés)</t>
  </si>
  <si>
    <t>+ Impôt sur les sociétés (non repris dans la caisse du classeur)</t>
  </si>
  <si>
    <t>− Achats de véhicules payés (acompte, mensualités, motos)</t>
  </si>
  <si>
    <t>− Matériel informatique et mobilier acheté (mois 0)</t>
  </si>
  <si>
    <t>− Bureau de Cotonou : caution et aménagement (mois 0)</t>
  </si>
  <si>
    <t>VARIATION DE LA CAISSE (calculée ici)</t>
  </si>
  <si>
    <t>Variation de la caisse (feuille Mensuel)</t>
  </si>
  <si>
    <t>Contrôle : écart (doit être 0)</t>
  </si>
  <si>
    <t>Caisse en fin d'année (levée de 15 M comprise)</t>
  </si>
  <si>
    <t>Plus bas niveau de caisse sur 36 mois</t>
  </si>
  <si>
    <t>Lecture : plus d'avance de démarrage remboursable (décision du 2026-10-11) ; les frais d'entrée (30 000 F par véhicule déployé, 15 véhicules au mois 1 puis les véhicules de tiers) sont une charge de fonctionnement de l'année d'arrivée.</t>
  </si>
  <si>
    <t>TamCar — Charges, recettes aux planchers et caisse, mois par mois (FCFA), mois 0 à 36</t>
  </si>
  <si>
    <t>Les charges sont les blocs du haut ; les recettes (planchers de Mayeul) et la caisse sont en bas. Achats des mois suivants : saisir les quantités en bleu, lignes 7 et 8. Les assurances, trackers et mensualités suivent automatiquement.</t>
  </si>
  <si>
    <t>Année 1 (mois 1-12)</t>
  </si>
  <si>
    <t>Année 2 (mois 13-24)</t>
  </si>
  <si>
    <t>Année 3 (mois 25-36)</t>
  </si>
  <si>
    <t>FLOTTE (quantités)</t>
  </si>
  <si>
    <t>Tricycles achetés ce mois (saisie)</t>
  </si>
  <si>
    <t>saisie</t>
  </si>
  <si>
    <t>Motos achetées ce mois (saisie)</t>
  </si>
  <si>
    <t>Tricycles en flotte (cumul)</t>
  </si>
  <si>
    <t>Motos en flotte (cumul)</t>
  </si>
  <si>
    <t>Développeur (dès le mois indiqué dans les hypothèses)</t>
  </si>
  <si>
    <t>Outil de développement (Claude Code, mois 1 à 12)</t>
  </si>
  <si>
    <t>Comptable (par trimestre)</t>
  </si>
  <si>
    <t>Juriste (par trimestre)</t>
  </si>
  <si>
    <t>Promotion de lancement</t>
  </si>
  <si>
    <t>Responsable des opérations (3 % du volume, plafonné)</t>
  </si>
  <si>
    <t>Renouvellement ANATT (mois 13 et 25)</t>
  </si>
  <si>
    <t>Patente (mois 13 et 25)</t>
  </si>
  <si>
    <t>Frais d'entrée des véhicules déployés (inspection, habillage, kit : 30 000 F par véhicule)</t>
  </si>
  <si>
    <t>Épargne NSIA (TamAssur) : postes vacants et manque au rachat à l'ouverture du premier palier</t>
  </si>
  <si>
    <t>Tricycles : mensualités du solde</t>
  </si>
  <si>
    <t>MISE EN CIRCULATION</t>
  </si>
  <si>
    <t>Assurance + droit taxi + visite technique : tricycles (achat, puis anniversaires)</t>
  </si>
  <si>
    <t>Assurance + droit taxi + visite technique : motos (à l'achat)</t>
  </si>
  <si>
    <t>Trackers GPS : tricycles (1re année, puis renouvellement)</t>
  </si>
  <si>
    <t>Trackers GPS : motos (à l'achat)</t>
  </si>
  <si>
    <t>TOTAL DES CHARGES</t>
  </si>
  <si>
    <t>Cumul des charges</t>
  </si>
  <si>
    <t>RECETTES DE TAMCAR (aux planchers de Mayeul)</t>
  </si>
  <si>
    <t>Tricycles : part de TamCar sur le volume, nette de la cotisation TamAssur (TamCar + tiers)</t>
  </si>
  <si>
    <t>Motos : objectif du jour puis commission après cession, net de la cotisation TamAssur (TamCar + tiers)</t>
  </si>
  <si>
    <t>Voitures Essentiel : part de TamCar sur le volume, nette de la cotisation TamAssur (Afrik Group + tiers)</t>
  </si>
  <si>
    <t>Voitures Confort : part de TamCar sur le volume, nette de la cotisation TamAssur (Afrik Group + tiers)</t>
  </si>
  <si>
    <t>CAISSE (levée − charges + recettes)</t>
  </si>
  <si>
    <t>Résultat du mois (recettes − charges)</t>
  </si>
  <si>
    <t>Caisse en fin de mois</t>
  </si>
  <si>
    <t>Caisse négative ce mois-ci ? (1 = oui)</t>
  </si>
  <si>
    <t>mois négatifs :</t>
  </si>
  <si>
    <t>AMORTISSEMENTS ET CHARGES À CONFIRMER (servent au résultat, pas à la caisse)</t>
  </si>
  <si>
    <t>Amortissement des tricycles (prix ÷ durée avant cession)</t>
  </si>
  <si>
    <t>Amortissement des motos (prix ÷ durée avant cession)</t>
  </si>
  <si>
    <t>Total des amortissements</t>
  </si>
  <si>
    <t>Frais de démarrage passés en charges (formalisation, ANATT, juriste, marketing, graphisme)</t>
  </si>
  <si>
    <t>Gadgets des meilleurs (1 tour tous les 6 mois) — à confirmer</t>
  </si>
  <si>
    <t>Total des charges à confirmer</t>
  </si>
  <si>
    <t>VOLUME DE COURSES (au taux d'atteinte retenu ; sert à répartir le responsable des opérations ; mois de lancement compté pour moitié)</t>
  </si>
  <si>
    <t>Volume des tricycles (TamCar + tiers)</t>
  </si>
  <si>
    <t>Volume des motos (TamCar + tiers)</t>
  </si>
  <si>
    <t>Volume des voitures Essentiel (Afrik Group + tiers)</t>
  </si>
  <si>
    <t>Volume des voitures Confort (Afrik Group + tiers)</t>
  </si>
  <si>
    <t>Volume total de courses</t>
  </si>
  <si>
    <t>VÉHICULES DE TIERS À RECRUTER (leviers de volume ; déjà compris dans les recettes et les volumes ci-dessus)</t>
  </si>
  <si>
    <t>Voitures Essentiel de tiers en service (cumul)</t>
  </si>
  <si>
    <t>Voitures Confort de tiers en service (cumul)</t>
  </si>
  <si>
    <t>Tricycles de tiers en service (cumul)</t>
  </si>
  <si>
    <t>Motos de tiers en service (cumul)</t>
  </si>
  <si>
    <t>Véhicules de tiers arrivés ce mois</t>
  </si>
  <si>
    <t>Volume des Essentiel de tiers (courses, au taux d'atteinte retenu)</t>
  </si>
  <si>
    <t>Volume des Confort de tiers</t>
  </si>
  <si>
    <t>Volume des tricycles de tiers</t>
  </si>
  <si>
    <t>Volume des motos de tiers</t>
  </si>
  <si>
    <t>Part de TamCar sur les véhicules de tiers (déjà dans les lignes 58 à 61)</t>
  </si>
  <si>
    <t>TAMASSUR : véhicules sous contrat (équivalents en service), cotisation prise sur la part de TamCar, manque au rachat NSIA</t>
  </si>
  <si>
    <t>Tricycles sous contrat, équivalents en service (TamCar + tiers)</t>
  </si>
  <si>
    <t>Motos sous contrat, équivalents en service (TamCar + tiers)</t>
  </si>
  <si>
    <t>Voitures Essentiel sous contrat, équivalents en service (Afrik Group + tiers)</t>
  </si>
  <si>
    <t>Voitures Confort sous contrat, équivalents en service (Afrik Group + tiers)</t>
  </si>
  <si>
    <t>Cotisation TamAssur prise sur la part de TamCar (déjà déduite des lignes 58 à 61)</t>
  </si>
  <si>
    <t>Motos arrivées ce mois (premier palier de retrait à 12 mois)</t>
  </si>
  <si>
    <t>Tricycles et voitures arrivés ce mois (premier palier de retrait à 24 mois)</t>
  </si>
  <si>
    <t>Manque au rachat NSIA à l'ouverture du premier palier (compté dans la ligne 38)</t>
  </si>
  <si>
    <t>TamCar — Charges, recettes aux planchers et caisse (FCFA)</t>
  </si>
  <si>
    <t>Flotte TamCar : 1 tricycle thermique (30 % + 12 mois) + 5 motos électriques (comptant), plus 9 voitures mises à disposition (6 Essentiel + 3 Confort, VIP non compté). Recettes = planchers de Mayeul. Pour changer quoi que ce soit : feuille Hypothèses (cellules bleues).</t>
  </si>
  <si>
    <t>1. Démarrage</t>
  </si>
  <si>
    <t>Total démarrage</t>
  </si>
  <si>
    <t>2. Fonctionnement</t>
  </si>
  <si>
    <t>Comptable</t>
  </si>
  <si>
    <t>Juriste</t>
  </si>
  <si>
    <t>Renouvellement ANATT</t>
  </si>
  <si>
    <t>Impôt minimum sur les sociétés</t>
  </si>
  <si>
    <t>Patente</t>
  </si>
  <si>
    <t>Frais d'entrée des véhicules déployés (30 000 F par véhicule)</t>
  </si>
  <si>
    <t>Épargne NSIA (TamAssur) : postes vacants et manque au rachat</t>
  </si>
  <si>
    <t>Total fonctionnement</t>
  </si>
  <si>
    <t>3. Achat des tricycles et des motos</t>
  </si>
  <si>
    <t>Total achat des véhicules</t>
  </si>
  <si>
    <t>4. Mise en circulation : assurance, droits taxi, visite technique, trackers GPS</t>
  </si>
  <si>
    <t>Assurance + droit taxi + visite technique : tricycles</t>
  </si>
  <si>
    <t>Assurance + droit taxi + visite technique : motos</t>
  </si>
  <si>
    <t>Trackers GPS : tricycles</t>
  </si>
  <si>
    <t>Trackers GPS : motos</t>
  </si>
  <si>
    <t>Total mise en circulation</t>
  </si>
  <si>
    <t>5. Recettes de TamCar (aux planchers de Mayeul)</t>
  </si>
  <si>
    <t>6. Caisse</t>
  </si>
  <si>
    <t>Résultat de la période (recettes − charges)</t>
  </si>
  <si>
    <t>Caisse en fin de période (démarrage = mois 0 ; années = mois 12, 24, 36 ; dernière colonne = plus bas niveau)</t>
  </si>
  <si>
    <t>Mois où la caisse est négative (nombre de mois)</t>
  </si>
  <si>
    <t>Premier mois de caisse négative</t>
  </si>
  <si>
    <t>Contrôle par rapport à la levée de 15 M (avant tout encaissement)</t>
  </si>
  <si>
    <t>Moins : démarrage</t>
  </si>
  <si>
    <t>Moins : fonctionnement année 1, hors responsable des opérations, voitures et épargne NSIA</t>
  </si>
  <si>
    <t>Marge disponible pour acheter et mettre en circulation les véhicules</t>
  </si>
  <si>
    <t>Mise de départ de la flotte (acompte + motos comptant + assurances + trackers, année 1)</t>
  </si>
  <si>
    <t>Marge restante après la mise de départ (négatif = dépassement)</t>
  </si>
  <si>
    <t>Autres charges de l'année 1 non comptées dans la marge : mensualités des tricycles et responsable des opérations</t>
  </si>
  <si>
    <t>Lecture : la marge de 4 M ignore les encaissements de l'année 1. Les mensualités des tricycles et le responsable des opérations sont payés par ces encaissements.</t>
  </si>
  <si>
    <t>Le fonds de rachat des conducteurs (encaissé à la cession, après 36 mois) n'est pas compté. Les voitures : assurance, trackers et entretien à la charge du propriétaire.</t>
  </si>
  <si>
    <t>Épargne NSIA (TamAssur) : la cotisation de 1 000 F par jour est comprise dans l'objectif du jour du conducteur, donc dans les 60 % du volume qui reviennent au propriétaire, au fonds de rachat et à TamCar : TamCar la finance sur sa part (déduite des recettes). S'y ajoutent le coût des postes vacants et le manque au rachat NSIA à l'ouverture du premier palier de retrait (estimations des lignes 104 et 105 des Hypothèses, à confirmer par NSIA).</t>
  </si>
  <si>
    <t>Aucune charge sociale ni frais Mobile Money (à la charge du client) ; entretien à la charge du conducteur ; assurance de la flotte : voir Hypothèses.</t>
  </si>
  <si>
    <t>Années 2 et 3 : les motos sont cédées aux conducteurs à 12 mois (plus d'assurance ni de tracker payés par TamCar) ; les tricycles restent à TamCar 36 mois.</t>
  </si>
  <si>
    <t>Comprend la création de spots vidéo par IA (Higgsfield) : pilote 39 200 F (forfait Plus, 49 $, 1 mois), puis 309 600 F au plus (forfait Ultra, 3 × 129 $) si le pilote convainc, dollar à 800 F ; le solde couvre la photo et le sponsoring ; la diffusion payante n'est pas budgétée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</si>
</sst>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
    <numFmt numFmtId="166" formatCode="0.0"/>
    <numFmt numFmtId="167" formatCode="&quot;M&quot;0"/>
    <numFmt numFmtId="168" formatCode="0;\-0;\-"/>
    <numFmt numFmtId="169" formatCode="&quot;mois &quot;0"/>
  </numFmts>
  <fonts count="11" x14ac:knownFonts="1">
    <font>
      <sz val="11"/>
      <color theme="1"/>
      <name val="Calibri"/>
      <family val="2"/>
      <scheme val="minor"/>
    </font>
    <font>
      <b/>
      <sz val="14"/>
      <color rgb="FF071B3A"/>
      <name val="Arial"/>
    </font>
    <font>
      <i/>
      <sz val="9"/>
      <color rgb="FF555555"/>
      <name val="Arial"/>
    </font>
    <font>
      <b/>
      <sz val="10"/>
      <name val="Arial"/>
    </font>
    <font>
      <sz val="10"/>
      <name val="Arial"/>
    </font>
    <font>
      <sz val="10"/>
      <color rgb="FF0000FF"/>
      <name val="Arial"/>
    </font>
    <font>
      <b/>
      <sz val="10"/>
      <color rgb="FFFFFFFF"/>
      <name val="Arial"/>
    </font>
    <font>
      <sz val="10"/>
      <color rgb="FF008000"/>
      <name val="Arial"/>
    </font>
    <font>
      <b/>
      <sz val="10"/>
      <color rgb="FF008000"/>
      <name val="Arial"/>
    </font>
    <font>
      <sz val="10"/>
      <color rgb="FF000000"/>
      <name val="Arial"/>
    </font>
    <font>
      <b/>
      <sz val="10"/>
      <color rgb="FF000000"/>
      <name val="Arial"/>
    </font>
  </fonts>
  <fills count="9">
    <fill>
      <patternFill patternType="none"/>
    </fill>
    <fill>
      <patternFill patternType="gray125"/>
    </fill>
    <fill>
      <patternFill patternType="solid">
        <fgColor rgb="FFDDE5F4"/>
      </patternFill>
    </fill>
    <fill>
      <patternFill patternType="solid">
        <fgColor rgb="FFFFF9C4"/>
      </patternFill>
    </fill>
    <fill>
      <patternFill patternType="solid">
        <fgColor rgb="FF071B3A"/>
      </patternFill>
    </fill>
    <fill>
      <patternFill patternType="solid">
        <fgColor rgb="FFF2F4F8"/>
      </patternFill>
    </fill>
    <fill>
      <patternFill patternType="solid">
        <fgColor rgb="FFC9D6F2"/>
      </patternFill>
    </fill>
    <fill>
      <patternFill patternType="solid">
        <fgColor rgb="FFDDF3E4"/>
      </patternFill>
    </fill>
    <fill>
      <patternFill patternType="solid">
        <fgColor rgb="FFFBE3DC"/>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6" fillId="4" borderId="0" xfId="0" applyFont="1" applyFill="1" applyAlignment="1">
      <alignment horizontal="center" wrapText="1"/>
    </xf>
    <xf numFmtId="0" fontId="3" fillId="2" borderId="0" xfId="0" applyFont="1" applyFill="1"/>
    <xf numFmtId="0" fontId="0" fillId="2" borderId="0" xfId="0" applyFill="1"/>
    <xf numFmtId="0" fontId="4" fillId="0" borderId="0" xfId="0" applyFont="1"/>
    <xf numFmtId="164" fontId="7" fillId="0" borderId="0" xfId="0" applyNumberFormat="1" applyFont="1"/>
    <xf numFmtId="0" fontId="3" fillId="5" borderId="0" xfId="0" applyFont="1" applyFill="1"/>
    <xf numFmtId="164" fontId="8" fillId="5" borderId="0" xfId="0" applyNumberFormat="1" applyFont="1" applyFill="1"/>
    <xf numFmtId="0" fontId="3" fillId="6" borderId="0" xfId="0" applyFont="1" applyFill="1"/>
    <xf numFmtId="164" fontId="8" fillId="6" borderId="0" xfId="0" applyNumberFormat="1" applyFont="1" applyFill="1"/>
    <xf numFmtId="0" fontId="3" fillId="0" borderId="0" xfId="0" applyFont="1"/>
    <xf numFmtId="164" fontId="8" fillId="0" borderId="0" xfId="0" applyNumberFormat="1" applyFont="1"/>
    <xf numFmtId="1" fontId="7" fillId="0" borderId="0" xfId="0" applyNumberFormat="1" applyFont="1"/>
    <xf numFmtId="164" fontId="9" fillId="0" borderId="0" xfId="0" applyNumberFormat="1" applyFont="1"/>
    <xf numFmtId="164" fontId="10" fillId="0" borderId="0" xfId="0" applyNumberFormat="1" applyFont="1"/>
    <xf numFmtId="1" fontId="5" fillId="3" borderId="0" xfId="0" applyNumberFormat="1" applyFont="1" applyFill="1"/>
    <xf numFmtId="164" fontId="5" fillId="3" borderId="0" xfId="0" applyNumberFormat="1" applyFont="1" applyFill="1"/>
    <xf numFmtId="9" fontId="5" fillId="3" borderId="0" xfId="0" applyNumberFormat="1" applyFont="1" applyFill="1"/>
    <xf numFmtId="49" fontId="5" fillId="3" borderId="0" xfId="0" applyNumberFormat="1" applyFont="1" applyFill="1"/>
    <xf numFmtId="0" fontId="6" fillId="4" borderId="0" xfId="0" applyFont="1" applyFill="1" applyAlignment="1">
      <alignment horizontal="center" vertical="center" wrapText="1"/>
    </xf>
    <xf numFmtId="164" fontId="4" fillId="0" borderId="0" xfId="0" applyNumberFormat="1" applyFont="1"/>
    <xf numFmtId="164" fontId="3" fillId="5" borderId="0" xfId="0" applyNumberFormat="1" applyFont="1" applyFill="1"/>
    <xf numFmtId="164" fontId="3" fillId="6" borderId="0" xfId="0" applyNumberFormat="1" applyFont="1" applyFill="1"/>
    <xf numFmtId="164" fontId="3" fillId="0" borderId="0" xfId="0" applyNumberFormat="1" applyFont="1"/>
    <xf numFmtId="1" fontId="0" fillId="0" borderId="0" xfId="0" applyNumberFormat="1"/>
    <xf numFmtId="0" fontId="6" fillId="4" borderId="0" xfId="0" applyFont="1" applyFill="1" applyAlignment="1">
      <alignment horizontal="left" vertical="center" wrapText="1"/>
    </xf>
    <xf numFmtId="164" fontId="2" fillId="0" borderId="0" xfId="0" applyNumberFormat="1" applyFont="1"/>
    <xf numFmtId="1" fontId="4" fillId="0" borderId="0" xfId="0" applyNumberFormat="1" applyFont="1"/>
    <xf numFmtId="167" fontId="6" fillId="4" borderId="0" xfId="0" applyNumberFormat="1" applyFont="1" applyFill="1" applyAlignment="1">
      <alignment horizontal="center"/>
    </xf>
    <xf numFmtId="168" fontId="5" fillId="3" borderId="0" xfId="0" applyNumberFormat="1" applyFont="1" applyFill="1"/>
    <xf numFmtId="168" fontId="7" fillId="0" borderId="0" xfId="0" applyNumberFormat="1" applyFont="1"/>
    <xf numFmtId="168" fontId="4" fillId="0" borderId="0" xfId="0" applyNumberFormat="1" applyFont="1"/>
    <xf numFmtId="0" fontId="4" fillId="0" borderId="0" xfId="0" applyFont="1" applyAlignment="1">
      <alignment vertical="top" wrapText="1"/>
    </xf>
    <xf numFmtId="0" fontId="0" fillId="0" borderId="0" xfId="0"/>
    <xf numFmtId="165" fontId="4" fillId="0" borderId="0" xfId="0" applyNumberFormat="1" applyFont="1"/>
    <xf numFmtId="165" fontId="3" fillId="6" borderId="0" xfId="0" applyNumberFormat="1" applyFont="1" applyFill="1"/>
    <xf numFmtId="165" fontId="5" fillId="3" borderId="0" xfId="0" applyNumberFormat="1" applyFont="1" applyFill="1"/>
    <xf numFmtId="166" fontId="4" fillId="0" borderId="0" xfId="0" applyNumberFormat="1" applyFont="1"/>
    <xf numFmtId="169" fontId="7" fillId="0" borderId="0" xfId="0" applyNumberFormat="1" applyFont="1"/>
    <xf numFmtId="9" fontId="3" fillId="0" borderId="0" xfId="0" applyNumberFormat="1" applyFont="1"/>
    <xf numFmtId="9" fontId="3" fillId="6" borderId="0" xfId="0" applyNumberFormat="1" applyFont="1" applyFill="1"/>
    <xf numFmtId="164" fontId="4" fillId="6" borderId="0" xfId="0" applyNumberFormat="1" applyFont="1" applyFill="1"/>
    <xf numFmtId="9" fontId="4" fillId="0" borderId="0" xfId="0" applyNumberFormat="1" applyFont="1"/>
    <xf numFmtId="0" fontId="3" fillId="7" borderId="0" xfId="0" applyFont="1" applyFill="1"/>
    <xf numFmtId="0" fontId="3" fillId="8" borderId="0" xfId="0" applyFont="1" applyFill="1"/>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showGridLines="0" tabSelected="1"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66" style="35" customWidth="1"/>
    <col min="2" max="4" width="18" style="35" customWidth="1"/>
    <col min="5" max="5" width="22" style="35" customWidth="1"/>
  </cols>
  <sheetData>
    <row r="1" spans="1:5" ht="17.399999999999999" customHeight="1" x14ac:dyDescent="0.3">
      <c r="A1" s="1" t="s">
        <v>0</v>
      </c>
    </row>
    <row r="2" spans="1:5" x14ac:dyDescent="0.3">
      <c r="A2" s="2" t="s">
        <v>1</v>
      </c>
    </row>
    <row r="4" spans="1:5" ht="30" customHeight="1" x14ac:dyDescent="0.3">
      <c r="A4" s="27" t="s">
        <v>2</v>
      </c>
      <c r="B4" s="21" t="s">
        <v>3</v>
      </c>
      <c r="C4" s="21" t="s">
        <v>4</v>
      </c>
      <c r="D4" s="21" t="s">
        <v>5</v>
      </c>
      <c r="E4" s="21" t="s">
        <v>6</v>
      </c>
    </row>
    <row r="5" spans="1:5" x14ac:dyDescent="0.3">
      <c r="A5" s="6" t="s">
        <v>7</v>
      </c>
      <c r="B5" s="22">
        <f>-Démarrage!B12</f>
        <v>-4550000</v>
      </c>
    </row>
    <row r="6" spans="1:5" x14ac:dyDescent="0.3">
      <c r="A6" s="10" t="s">
        <v>8</v>
      </c>
      <c r="B6" s="24">
        <f>Résultat!B6</f>
        <v>14261975</v>
      </c>
      <c r="C6" s="24">
        <f>Résultat!C6</f>
        <v>15982200</v>
      </c>
      <c r="D6" s="24">
        <f>Résultat!D6</f>
        <v>15202200</v>
      </c>
      <c r="E6" s="24">
        <f>Résultat!E6</f>
        <v>45446375</v>
      </c>
    </row>
    <row r="7" spans="1:5" x14ac:dyDescent="0.3">
      <c r="A7" s="6" t="s">
        <v>9</v>
      </c>
      <c r="B7" s="22">
        <f>Résultat!B7+Résultat!B8</f>
        <v>-10116111</v>
      </c>
      <c r="C7" s="22">
        <f>Résultat!C7+Résultat!C8</f>
        <v>-10325250</v>
      </c>
      <c r="D7" s="22">
        <f>Résultat!D7+Résultat!D8</f>
        <v>-10784250</v>
      </c>
      <c r="E7" s="22">
        <f>Résultat!E7+Résultat!E8</f>
        <v>-31225611</v>
      </c>
    </row>
    <row r="8" spans="1:5" x14ac:dyDescent="0.3">
      <c r="A8" s="10" t="s">
        <v>10</v>
      </c>
      <c r="B8" s="24">
        <f>Résultat!B9</f>
        <v>4145864</v>
      </c>
      <c r="C8" s="24">
        <f>Résultat!C9</f>
        <v>5656950</v>
      </c>
      <c r="D8" s="24">
        <f>Résultat!D9</f>
        <v>4417950</v>
      </c>
      <c r="E8" s="24">
        <f>Résultat!E9</f>
        <v>14220764</v>
      </c>
    </row>
    <row r="9" spans="1:5" x14ac:dyDescent="0.3">
      <c r="A9" s="6" t="s">
        <v>11</v>
      </c>
      <c r="B9" s="22">
        <f>Résultat!B10+Résultat!B11</f>
        <v>-6533333.333333334</v>
      </c>
      <c r="C9" s="22">
        <f>Résultat!C10+Résultat!C11</f>
        <v>-1108333.3333333333</v>
      </c>
      <c r="D9" s="22">
        <f>Résultat!D10+Résultat!D11</f>
        <v>-333333.33333333326</v>
      </c>
      <c r="E9" s="22">
        <f>Résultat!E10+Résultat!E11</f>
        <v>-7975000</v>
      </c>
    </row>
    <row r="10" spans="1:5" x14ac:dyDescent="0.3">
      <c r="A10" s="10" t="s">
        <v>12</v>
      </c>
      <c r="B10" s="24">
        <f>Résultat!B14</f>
        <v>-2387469.333333334</v>
      </c>
      <c r="C10" s="24">
        <f>Résultat!C14</f>
        <v>4548616.666666667</v>
      </c>
      <c r="D10" s="24">
        <f>Résultat!D14</f>
        <v>2859231.666666667</v>
      </c>
      <c r="E10" s="24">
        <f>Résultat!E14</f>
        <v>5020379</v>
      </c>
    </row>
    <row r="11" spans="1:5" x14ac:dyDescent="0.3">
      <c r="A11" s="6" t="s">
        <v>13</v>
      </c>
      <c r="B11" s="22">
        <f>Résultat!B17+Résultat!B18</f>
        <v>-695000</v>
      </c>
      <c r="C11" s="22">
        <f>Résultat!C17+Résultat!C18</f>
        <v>-790000</v>
      </c>
      <c r="D11" s="22">
        <f>Résultat!D17+Résultat!D18</f>
        <v>-790000</v>
      </c>
      <c r="E11" s="22">
        <f>Résultat!E17+Résultat!E18</f>
        <v>-2275000</v>
      </c>
    </row>
    <row r="12" spans="1:5" x14ac:dyDescent="0.3">
      <c r="A12" s="10" t="s">
        <v>14</v>
      </c>
      <c r="B12" s="24">
        <f>Résultat!B19</f>
        <v>-3082469.333333334</v>
      </c>
      <c r="C12" s="24">
        <f>Résultat!C19</f>
        <v>3758616.666666667</v>
      </c>
      <c r="D12" s="24">
        <f>Résultat!D19</f>
        <v>2069231.666666667</v>
      </c>
      <c r="E12" s="24">
        <f>Résultat!E19</f>
        <v>2745379</v>
      </c>
    </row>
    <row r="13" spans="1:5" x14ac:dyDescent="0.3">
      <c r="A13" s="6" t="s">
        <v>15</v>
      </c>
      <c r="B13" s="22">
        <f>Résultat!B31</f>
        <v>-4238719.3333333321</v>
      </c>
      <c r="C13" s="22">
        <f>Résultat!C31</f>
        <v>5566533.333333333</v>
      </c>
      <c r="D13" s="22">
        <f>Résultat!D31</f>
        <v>4417950</v>
      </c>
      <c r="E13" s="22">
        <f>Résultat!E31</f>
        <v>5745764.0000000009</v>
      </c>
    </row>
    <row r="14" spans="1:5" x14ac:dyDescent="0.3">
      <c r="A14" s="10" t="s">
        <v>16</v>
      </c>
      <c r="B14" s="24">
        <f>Résultat!B33</f>
        <v>10761280.666666666</v>
      </c>
      <c r="C14" s="24">
        <f>Résultat!C33</f>
        <v>16327814</v>
      </c>
      <c r="D14" s="24">
        <f>Résultat!D33</f>
        <v>20745764</v>
      </c>
      <c r="E14" s="10"/>
    </row>
    <row r="15" spans="1:5" x14ac:dyDescent="0.3">
      <c r="A15" s="6" t="s">
        <v>17</v>
      </c>
      <c r="B15" s="36">
        <f>IF(B6=0,0,B8/B6)</f>
        <v>0.29069353999007852</v>
      </c>
      <c r="C15" s="36">
        <f>IF(C6=0,0,C8/C6)</f>
        <v>0.35395314787701315</v>
      </c>
      <c r="D15" s="36">
        <f>IF(D6=0,0,D8/D6)</f>
        <v>0.29061254292141925</v>
      </c>
      <c r="E15" s="36">
        <f>IF(E6=0,0,E8/E6)</f>
        <v>0.31291305412147835</v>
      </c>
    </row>
    <row r="17" spans="1:5" x14ac:dyDescent="0.3">
      <c r="A17" s="4" t="s">
        <v>18</v>
      </c>
      <c r="B17" s="4"/>
      <c r="C17" s="4"/>
      <c r="D17" s="4"/>
      <c r="E17" s="4"/>
    </row>
    <row r="18" spans="1:5" ht="30" customHeight="1" x14ac:dyDescent="0.3">
      <c r="A18" s="27" t="s">
        <v>19</v>
      </c>
      <c r="B18" s="21" t="s">
        <v>20</v>
      </c>
      <c r="C18" s="21" t="s">
        <v>21</v>
      </c>
      <c r="D18" s="21" t="s">
        <v>22</v>
      </c>
      <c r="E18" s="21" t="s">
        <v>23</v>
      </c>
    </row>
    <row r="19" spans="1:5" x14ac:dyDescent="0.3">
      <c r="A19" s="6" t="s">
        <v>24</v>
      </c>
      <c r="B19" s="22">
        <f>Marge!B6</f>
        <v>3752450</v>
      </c>
      <c r="C19" s="22">
        <f>Marge!B11</f>
        <v>187533.9683621983</v>
      </c>
      <c r="D19" s="36">
        <f>Marge!B12</f>
        <v>4.9976406977361006E-2</v>
      </c>
      <c r="E19" s="22">
        <f>Marge!B14</f>
        <v>-1712604.325510144</v>
      </c>
    </row>
    <row r="20" spans="1:5" x14ac:dyDescent="0.3">
      <c r="A20" s="6" t="s">
        <v>25</v>
      </c>
      <c r="B20" s="22">
        <f>Marge!C6</f>
        <v>1345500</v>
      </c>
      <c r="C20" s="22">
        <f>Marge!C11</f>
        <v>272768.02337169158</v>
      </c>
      <c r="D20" s="36">
        <f>Marge!C12</f>
        <v>0.2027261414876935</v>
      </c>
      <c r="E20" s="22">
        <f>Marge!C14</f>
        <v>-408556.46447098104</v>
      </c>
    </row>
    <row r="21" spans="1:5" x14ac:dyDescent="0.3">
      <c r="A21" s="6" t="s">
        <v>26</v>
      </c>
      <c r="B21" s="22">
        <f>Marge!D6</f>
        <v>5201625</v>
      </c>
      <c r="C21" s="22">
        <f>Marge!D11</f>
        <v>4378685.2905726489</v>
      </c>
      <c r="D21" s="36">
        <f>Marge!D12</f>
        <v>0.84179180363302797</v>
      </c>
      <c r="E21" s="22">
        <f>Marge!D14</f>
        <v>1744724.3176446361</v>
      </c>
    </row>
    <row r="22" spans="1:5" x14ac:dyDescent="0.3">
      <c r="A22" s="6" t="s">
        <v>27</v>
      </c>
      <c r="B22" s="22">
        <f>Marge!E6</f>
        <v>3962400</v>
      </c>
      <c r="C22" s="22">
        <f>Marge!E11</f>
        <v>3378751.7176934616</v>
      </c>
      <c r="D22" s="36">
        <f>Marge!E12</f>
        <v>0.8527033408271405</v>
      </c>
      <c r="E22" s="22">
        <f>Marge!E14</f>
        <v>1372300.4723364897</v>
      </c>
    </row>
    <row r="23" spans="1:5" x14ac:dyDescent="0.3">
      <c r="A23" s="10" t="s">
        <v>28</v>
      </c>
      <c r="B23" s="24">
        <f>Marge!F6</f>
        <v>14261975</v>
      </c>
      <c r="C23" s="24">
        <f>Marge!F11</f>
        <v>8217739</v>
      </c>
      <c r="D23" s="37">
        <f>Marge!F12</f>
        <v>0.57619922906890531</v>
      </c>
      <c r="E23" s="24">
        <f>Marge!F14</f>
        <v>995864</v>
      </c>
    </row>
    <row r="25" spans="1:5" x14ac:dyDescent="0.3">
      <c r="A25" s="4" t="s">
        <v>29</v>
      </c>
      <c r="B25" s="4"/>
      <c r="C25" s="4"/>
      <c r="D25" s="4"/>
      <c r="E25" s="4"/>
    </row>
    <row r="26" spans="1:5" ht="58.05" customHeight="1" x14ac:dyDescent="0.3">
      <c r="A26" s="47" t="s">
        <v>30</v>
      </c>
      <c r="B26" s="48"/>
      <c r="C26" s="48"/>
      <c r="D26" s="48"/>
      <c r="E26" s="48"/>
    </row>
    <row r="27" spans="1:5" ht="58.05" customHeight="1" x14ac:dyDescent="0.3">
      <c r="A27" s="47" t="s">
        <v>31</v>
      </c>
      <c r="B27" s="48"/>
      <c r="C27" s="48"/>
      <c r="D27" s="48"/>
      <c r="E27" s="48"/>
    </row>
    <row r="28" spans="1:5" ht="58.05" customHeight="1" x14ac:dyDescent="0.3">
      <c r="A28" s="47" t="s">
        <v>32</v>
      </c>
      <c r="B28" s="48"/>
      <c r="C28" s="48"/>
      <c r="D28" s="48"/>
      <c r="E28" s="48"/>
    </row>
    <row r="29" spans="1:5" ht="58.05" customHeight="1" x14ac:dyDescent="0.3">
      <c r="A29" s="47" t="s">
        <v>33</v>
      </c>
      <c r="B29" s="48"/>
      <c r="C29" s="48"/>
      <c r="D29" s="48"/>
      <c r="E29" s="48"/>
    </row>
    <row r="30" spans="1:5" ht="58.05" customHeight="1" x14ac:dyDescent="0.3">
      <c r="A30" s="47" t="s">
        <v>34</v>
      </c>
      <c r="B30" s="48"/>
      <c r="C30" s="48"/>
      <c r="D30" s="48"/>
      <c r="E30" s="48"/>
    </row>
  </sheetData>
  <mergeCells count="5">
    <mergeCell ref="A30:E30"/>
    <mergeCell ref="A29:E29"/>
    <mergeCell ref="A26:E26"/>
    <mergeCell ref="A28:E28"/>
    <mergeCell ref="A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workbookViewId="0">
      <pane xSplit="1" ySplit="3" topLeftCell="B4" activePane="bottomRight" state="frozen"/>
      <selection pane="topRight"/>
      <selection pane="bottomLeft"/>
      <selection pane="bottomRight"/>
    </sheetView>
  </sheetViews>
  <sheetFormatPr baseColWidth="10" defaultColWidth="8.88671875" defaultRowHeight="14.4" x14ac:dyDescent="0.3"/>
  <cols>
    <col min="1" max="1" width="44" style="35" customWidth="1"/>
    <col min="2" max="7" width="15" style="35" customWidth="1"/>
    <col min="8" max="8" width="26" style="35" customWidth="1"/>
    <col min="9" max="12" width="15" style="35" customWidth="1"/>
  </cols>
  <sheetData>
    <row r="1" spans="1:12" ht="17.399999999999999" x14ac:dyDescent="0.3">
      <c r="A1" s="1" t="s">
        <v>35</v>
      </c>
    </row>
    <row r="2" spans="1:12" x14ac:dyDescent="0.3">
      <c r="A2" s="2" t="s">
        <v>36</v>
      </c>
    </row>
    <row r="4" spans="1:12" x14ac:dyDescent="0.3">
      <c r="A4" s="4" t="s">
        <v>37</v>
      </c>
      <c r="B4" s="4"/>
      <c r="C4" s="4"/>
      <c r="D4" s="4"/>
      <c r="E4" s="4"/>
      <c r="F4" s="4"/>
      <c r="G4" s="4"/>
      <c r="H4" s="4"/>
      <c r="I4" s="4"/>
      <c r="J4" s="4"/>
      <c r="K4" s="4"/>
      <c r="L4" s="4"/>
    </row>
    <row r="5" spans="1:12" ht="31.95" customHeight="1" x14ac:dyDescent="0.3">
      <c r="A5" s="27" t="s">
        <v>38</v>
      </c>
      <c r="B5" s="21" t="s">
        <v>39</v>
      </c>
      <c r="C5" s="21" t="s">
        <v>40</v>
      </c>
      <c r="D5" s="21" t="s">
        <v>41</v>
      </c>
      <c r="E5" s="21" t="s">
        <v>42</v>
      </c>
      <c r="F5" s="21" t="s">
        <v>40</v>
      </c>
      <c r="G5" s="21" t="s">
        <v>41</v>
      </c>
      <c r="H5" s="21" t="s">
        <v>43</v>
      </c>
      <c r="I5" s="21" t="s">
        <v>40</v>
      </c>
      <c r="J5" s="21" t="s">
        <v>41</v>
      </c>
      <c r="K5" s="21" t="s">
        <v>44</v>
      </c>
      <c r="L5" s="21" t="s">
        <v>45</v>
      </c>
    </row>
    <row r="6" spans="1:12" x14ac:dyDescent="0.3">
      <c r="A6" s="41">
        <v>1</v>
      </c>
      <c r="B6" s="22">
        <v>2502917</v>
      </c>
      <c r="C6" s="22">
        <v>641142</v>
      </c>
      <c r="D6" s="22">
        <v>-309858</v>
      </c>
      <c r="E6" s="22">
        <v>-4030416</v>
      </c>
      <c r="F6" s="22">
        <v>-467191</v>
      </c>
      <c r="G6" s="22">
        <v>-643191</v>
      </c>
      <c r="H6" s="22">
        <v>9118334</v>
      </c>
      <c r="I6" s="22">
        <v>9669059</v>
      </c>
      <c r="J6" s="22">
        <v>9359201</v>
      </c>
      <c r="K6" s="22">
        <v>5845254</v>
      </c>
      <c r="L6" s="22">
        <v>0</v>
      </c>
    </row>
    <row r="7" spans="1:12" x14ac:dyDescent="0.3">
      <c r="A7" s="41">
        <v>0.9</v>
      </c>
      <c r="B7" s="22">
        <v>985350</v>
      </c>
      <c r="C7" s="22">
        <v>-584347</v>
      </c>
      <c r="D7" s="22">
        <v>-1426147</v>
      </c>
      <c r="E7" s="22">
        <v>-5547983</v>
      </c>
      <c r="F7" s="22">
        <v>-1692681</v>
      </c>
      <c r="G7" s="22">
        <v>-1759481</v>
      </c>
      <c r="H7" s="22">
        <v>7600767</v>
      </c>
      <c r="I7" s="22">
        <v>6926003</v>
      </c>
      <c r="J7" s="22">
        <v>5499856</v>
      </c>
      <c r="K7" s="22">
        <v>5499856</v>
      </c>
      <c r="L7" s="22">
        <v>0</v>
      </c>
    </row>
    <row r="8" spans="1:12" x14ac:dyDescent="0.3">
      <c r="A8" s="41">
        <v>0.8</v>
      </c>
      <c r="B8" s="22">
        <v>-532216</v>
      </c>
      <c r="C8" s="22">
        <v>-1809836</v>
      </c>
      <c r="D8" s="22">
        <v>-2542436</v>
      </c>
      <c r="E8" s="22">
        <v>-7065550</v>
      </c>
      <c r="F8" s="22">
        <v>-2918170</v>
      </c>
      <c r="G8" s="22">
        <v>-2875770</v>
      </c>
      <c r="H8" s="22">
        <v>6083200</v>
      </c>
      <c r="I8" s="22">
        <v>4182947</v>
      </c>
      <c r="J8" s="22">
        <v>1640511</v>
      </c>
      <c r="K8" s="22">
        <v>1640511</v>
      </c>
      <c r="L8" s="22">
        <v>0</v>
      </c>
    </row>
    <row r="9" spans="1:12" x14ac:dyDescent="0.3">
      <c r="A9" s="42">
        <v>0.7</v>
      </c>
      <c r="B9" s="43">
        <v>-2049783</v>
      </c>
      <c r="C9" s="43">
        <v>-3035326</v>
      </c>
      <c r="D9" s="43">
        <v>-3658726</v>
      </c>
      <c r="E9" s="43">
        <v>-8583116</v>
      </c>
      <c r="F9" s="43">
        <v>-4143659</v>
      </c>
      <c r="G9" s="43">
        <v>-3992059</v>
      </c>
      <c r="H9" s="43">
        <v>4565634</v>
      </c>
      <c r="I9" s="43">
        <v>1439891</v>
      </c>
      <c r="J9" s="43">
        <v>-2218834</v>
      </c>
      <c r="K9" s="43">
        <v>-2218834</v>
      </c>
      <c r="L9" s="43">
        <v>10</v>
      </c>
    </row>
    <row r="10" spans="1:12" x14ac:dyDescent="0.3">
      <c r="A10" s="41">
        <v>0.6</v>
      </c>
      <c r="B10" s="22">
        <v>-3567350</v>
      </c>
      <c r="C10" s="22">
        <v>-4260815</v>
      </c>
      <c r="D10" s="22">
        <v>-4775015</v>
      </c>
      <c r="E10" s="22">
        <v>-10100683</v>
      </c>
      <c r="F10" s="22">
        <v>-5369148</v>
      </c>
      <c r="G10" s="22">
        <v>-5108348</v>
      </c>
      <c r="H10" s="22">
        <v>3048067</v>
      </c>
      <c r="I10" s="22">
        <v>-1303165</v>
      </c>
      <c r="J10" s="22">
        <v>-6078179</v>
      </c>
      <c r="K10" s="22">
        <v>-6078179</v>
      </c>
      <c r="L10" s="22">
        <v>17</v>
      </c>
    </row>
    <row r="11" spans="1:12" x14ac:dyDescent="0.3">
      <c r="A11" s="41">
        <v>0.5</v>
      </c>
      <c r="B11" s="22">
        <v>-5084916</v>
      </c>
      <c r="C11" s="22">
        <v>-5486304</v>
      </c>
      <c r="D11" s="22">
        <v>-5891304</v>
      </c>
      <c r="E11" s="22">
        <v>-11618250</v>
      </c>
      <c r="F11" s="22">
        <v>-6594637</v>
      </c>
      <c r="G11" s="22">
        <v>-6224637</v>
      </c>
      <c r="H11" s="22">
        <v>1530500</v>
      </c>
      <c r="I11" s="22">
        <v>-4046220</v>
      </c>
      <c r="J11" s="22">
        <v>-9937524</v>
      </c>
      <c r="K11" s="22">
        <v>-9937524</v>
      </c>
      <c r="L11" s="22">
        <v>22</v>
      </c>
    </row>
    <row r="12" spans="1:12" x14ac:dyDescent="0.3">
      <c r="A12" s="12" t="s">
        <v>46</v>
      </c>
      <c r="B12" s="6" t="s">
        <v>47</v>
      </c>
    </row>
    <row r="15" spans="1:12" x14ac:dyDescent="0.3">
      <c r="A15" s="4" t="s">
        <v>48</v>
      </c>
      <c r="B15" s="4"/>
      <c r="C15" s="4"/>
      <c r="D15" s="4"/>
      <c r="E15" s="4"/>
      <c r="F15" s="4"/>
      <c r="G15" s="4"/>
      <c r="H15" s="4"/>
      <c r="I15" s="4"/>
      <c r="J15" s="4"/>
      <c r="K15" s="4"/>
      <c r="L15" s="4"/>
    </row>
    <row r="16" spans="1:12" ht="31.95" customHeight="1" x14ac:dyDescent="0.3">
      <c r="A16" s="27" t="s">
        <v>38</v>
      </c>
      <c r="B16" s="21" t="s">
        <v>39</v>
      </c>
      <c r="C16" s="21" t="s">
        <v>40</v>
      </c>
      <c r="D16" s="21" t="s">
        <v>41</v>
      </c>
      <c r="E16" s="21" t="s">
        <v>42</v>
      </c>
      <c r="F16" s="21" t="s">
        <v>40</v>
      </c>
      <c r="G16" s="21" t="s">
        <v>41</v>
      </c>
      <c r="H16" s="21" t="s">
        <v>43</v>
      </c>
      <c r="I16" s="21" t="s">
        <v>40</v>
      </c>
      <c r="J16" s="21" t="s">
        <v>41</v>
      </c>
      <c r="K16" s="21" t="s">
        <v>44</v>
      </c>
      <c r="L16" s="21" t="s">
        <v>45</v>
      </c>
    </row>
    <row r="17" spans="1:12" x14ac:dyDescent="0.3">
      <c r="A17" s="41">
        <v>1</v>
      </c>
      <c r="B17" s="22">
        <v>4145864</v>
      </c>
      <c r="C17" s="22">
        <v>5656950</v>
      </c>
      <c r="D17" s="22">
        <v>4417950</v>
      </c>
      <c r="E17" s="22">
        <v>-2387469</v>
      </c>
      <c r="F17" s="22">
        <v>4548617</v>
      </c>
      <c r="G17" s="22">
        <v>2859232</v>
      </c>
      <c r="H17" s="22">
        <v>10761281</v>
      </c>
      <c r="I17" s="22">
        <v>16327814</v>
      </c>
      <c r="J17" s="22">
        <v>20745764</v>
      </c>
      <c r="K17" s="22">
        <v>5845254</v>
      </c>
      <c r="L17" s="22">
        <v>0</v>
      </c>
    </row>
    <row r="18" spans="1:12" x14ac:dyDescent="0.3">
      <c r="A18" s="41">
        <v>0.9</v>
      </c>
      <c r="B18" s="22">
        <v>2279183</v>
      </c>
      <c r="C18" s="22">
        <v>3559530</v>
      </c>
      <c r="D18" s="22">
        <v>2429730</v>
      </c>
      <c r="E18" s="22">
        <v>-4254150</v>
      </c>
      <c r="F18" s="22">
        <v>2451197</v>
      </c>
      <c r="G18" s="22">
        <v>2008364</v>
      </c>
      <c r="H18" s="22">
        <v>8894600</v>
      </c>
      <c r="I18" s="22">
        <v>12363713</v>
      </c>
      <c r="J18" s="22">
        <v>14793443</v>
      </c>
      <c r="K18" s="22">
        <v>5785672</v>
      </c>
      <c r="L18" s="22">
        <v>0</v>
      </c>
    </row>
    <row r="19" spans="1:12" x14ac:dyDescent="0.3">
      <c r="A19" s="41">
        <v>0.8</v>
      </c>
      <c r="B19" s="22">
        <v>450107</v>
      </c>
      <c r="C19" s="22">
        <v>1462110</v>
      </c>
      <c r="D19" s="22">
        <v>441510</v>
      </c>
      <c r="E19" s="22">
        <v>-6083227</v>
      </c>
      <c r="F19" s="22">
        <v>353777</v>
      </c>
      <c r="G19" s="22">
        <v>108177</v>
      </c>
      <c r="H19" s="22">
        <v>7065523</v>
      </c>
      <c r="I19" s="22">
        <v>8437217</v>
      </c>
      <c r="J19" s="22">
        <v>8878727</v>
      </c>
      <c r="K19" s="22">
        <v>5647838</v>
      </c>
      <c r="L19" s="22">
        <v>0</v>
      </c>
    </row>
    <row r="20" spans="1:12" x14ac:dyDescent="0.3">
      <c r="A20" s="42">
        <v>0.7</v>
      </c>
      <c r="B20" s="43">
        <v>-1326564</v>
      </c>
      <c r="C20" s="43">
        <v>-556848</v>
      </c>
      <c r="D20" s="43">
        <v>-1468248</v>
      </c>
      <c r="E20" s="43">
        <v>-7859897</v>
      </c>
      <c r="F20" s="43">
        <v>-1665181</v>
      </c>
      <c r="G20" s="43">
        <v>-1801581</v>
      </c>
      <c r="H20" s="43">
        <v>5288853</v>
      </c>
      <c r="I20" s="43">
        <v>4641588</v>
      </c>
      <c r="J20" s="43">
        <v>3173340</v>
      </c>
      <c r="K20" s="43">
        <v>3173340</v>
      </c>
      <c r="L20" s="43">
        <v>0</v>
      </c>
    </row>
    <row r="21" spans="1:12" x14ac:dyDescent="0.3">
      <c r="A21" s="41">
        <v>0.6</v>
      </c>
      <c r="B21" s="22">
        <v>-3075323</v>
      </c>
      <c r="C21" s="22">
        <v>-2408334</v>
      </c>
      <c r="D21" s="22">
        <v>-3210534</v>
      </c>
      <c r="E21" s="22">
        <v>-9608656</v>
      </c>
      <c r="F21" s="22">
        <v>-3516667</v>
      </c>
      <c r="G21" s="22">
        <v>-3543867</v>
      </c>
      <c r="H21" s="22">
        <v>3540094</v>
      </c>
      <c r="I21" s="22">
        <v>1041343</v>
      </c>
      <c r="J21" s="22">
        <v>-2169191</v>
      </c>
      <c r="K21" s="22">
        <v>-2169191</v>
      </c>
      <c r="L21" s="22">
        <v>11</v>
      </c>
    </row>
    <row r="22" spans="1:12" x14ac:dyDescent="0.3">
      <c r="A22" s="41">
        <v>0.5</v>
      </c>
      <c r="B22" s="22">
        <v>-4824082</v>
      </c>
      <c r="C22" s="22">
        <v>-4259820</v>
      </c>
      <c r="D22" s="22">
        <v>-4952820</v>
      </c>
      <c r="E22" s="22">
        <v>-11357415</v>
      </c>
      <c r="F22" s="22">
        <v>-5368153</v>
      </c>
      <c r="G22" s="22">
        <v>-5286153</v>
      </c>
      <c r="H22" s="22">
        <v>1791335</v>
      </c>
      <c r="I22" s="22">
        <v>-2558902</v>
      </c>
      <c r="J22" s="22">
        <v>-7511722</v>
      </c>
      <c r="K22" s="22">
        <v>-7511722</v>
      </c>
      <c r="L22" s="22">
        <v>21</v>
      </c>
    </row>
    <row r="23" spans="1:12" x14ac:dyDescent="0.3">
      <c r="A23" s="12" t="s">
        <v>46</v>
      </c>
      <c r="B23" s="6" t="s">
        <v>49</v>
      </c>
    </row>
    <row r="26" spans="1:12" x14ac:dyDescent="0.3">
      <c r="A26" s="4" t="s">
        <v>50</v>
      </c>
      <c r="B26" s="4"/>
      <c r="C26" s="4"/>
      <c r="D26" s="4"/>
      <c r="E26" s="4"/>
      <c r="F26" s="4"/>
      <c r="G26" s="4"/>
      <c r="H26" s="4"/>
      <c r="I26" s="4"/>
      <c r="J26" s="4"/>
      <c r="K26" s="4"/>
      <c r="L26" s="4"/>
    </row>
    <row r="27" spans="1:12" ht="31.95" customHeight="1" x14ac:dyDescent="0.3">
      <c r="A27" s="27" t="s">
        <v>51</v>
      </c>
      <c r="B27" s="21" t="s">
        <v>52</v>
      </c>
      <c r="C27" s="21" t="s">
        <v>53</v>
      </c>
      <c r="D27" s="21" t="s">
        <v>54</v>
      </c>
    </row>
    <row r="28" spans="1:12" x14ac:dyDescent="0.3">
      <c r="A28" s="6" t="s">
        <v>55</v>
      </c>
      <c r="B28" s="22">
        <v>-3014</v>
      </c>
      <c r="C28" s="22">
        <v>7024</v>
      </c>
      <c r="D28" s="22">
        <v>30000</v>
      </c>
    </row>
    <row r="29" spans="1:12" x14ac:dyDescent="0.3">
      <c r="A29" s="6" t="s">
        <v>56</v>
      </c>
      <c r="B29" s="22">
        <v>13602</v>
      </c>
      <c r="C29" s="22">
        <v>30762</v>
      </c>
      <c r="D29" s="22">
        <v>30000</v>
      </c>
    </row>
    <row r="30" spans="1:12" x14ac:dyDescent="0.3">
      <c r="A30" s="6" t="s">
        <v>57</v>
      </c>
      <c r="B30" s="22">
        <v>28417</v>
      </c>
      <c r="C30" s="22">
        <v>51926</v>
      </c>
      <c r="D30" s="22">
        <v>30000</v>
      </c>
    </row>
    <row r="31" spans="1:12" x14ac:dyDescent="0.3">
      <c r="A31" s="6" t="s">
        <v>58</v>
      </c>
      <c r="B31" s="22">
        <v>40429</v>
      </c>
      <c r="C31" s="22">
        <v>69086</v>
      </c>
      <c r="D31" s="22">
        <v>30000</v>
      </c>
    </row>
    <row r="34" spans="1:12" x14ac:dyDescent="0.3">
      <c r="A34" s="4" t="s">
        <v>59</v>
      </c>
      <c r="B34" s="4"/>
      <c r="C34" s="4"/>
      <c r="D34" s="4"/>
      <c r="E34" s="4"/>
      <c r="F34" s="4"/>
      <c r="G34" s="4"/>
      <c r="H34" s="4"/>
      <c r="I34" s="4"/>
      <c r="J34" s="4"/>
      <c r="K34" s="4"/>
      <c r="L34" s="4"/>
    </row>
    <row r="35" spans="1:12" x14ac:dyDescent="0.3">
      <c r="A35" s="2" t="s">
        <v>60</v>
      </c>
    </row>
    <row r="36" spans="1:12" ht="31.95" customHeight="1" x14ac:dyDescent="0.3">
      <c r="A36" s="27" t="s">
        <v>38</v>
      </c>
      <c r="B36" s="21" t="s">
        <v>61</v>
      </c>
      <c r="C36" s="21" t="s">
        <v>62</v>
      </c>
      <c r="D36" s="21" t="s">
        <v>57</v>
      </c>
      <c r="E36" s="21" t="s">
        <v>58</v>
      </c>
    </row>
    <row r="37" spans="1:12" x14ac:dyDescent="0.3">
      <c r="A37" s="41">
        <v>0.7</v>
      </c>
      <c r="B37" s="29"/>
      <c r="C37" s="29">
        <v>31</v>
      </c>
      <c r="D37" s="29">
        <v>16</v>
      </c>
      <c r="E37" s="29">
        <v>11</v>
      </c>
    </row>
    <row r="38" spans="1:12" x14ac:dyDescent="0.3">
      <c r="A38" s="41">
        <v>0.8</v>
      </c>
      <c r="B38" s="29"/>
      <c r="C38" s="29">
        <v>18</v>
      </c>
      <c r="D38" s="29">
        <v>10</v>
      </c>
      <c r="E38" s="29">
        <v>7</v>
      </c>
    </row>
    <row r="39" spans="1:12" x14ac:dyDescent="0.3">
      <c r="A39" s="41">
        <v>0.9</v>
      </c>
      <c r="B39" s="29">
        <v>45</v>
      </c>
      <c r="C39" s="29">
        <v>10</v>
      </c>
      <c r="D39" s="29">
        <v>6</v>
      </c>
      <c r="E39" s="29">
        <v>5</v>
      </c>
    </row>
    <row r="40" spans="1:12" x14ac:dyDescent="0.3">
      <c r="A40" s="41">
        <v>1</v>
      </c>
      <c r="B40" s="29">
        <v>17</v>
      </c>
      <c r="C40" s="29">
        <v>5</v>
      </c>
      <c r="D40" s="29">
        <v>3</v>
      </c>
      <c r="E40" s="29">
        <v>3</v>
      </c>
    </row>
    <row r="43" spans="1:12" x14ac:dyDescent="0.3">
      <c r="A43" s="4" t="s">
        <v>63</v>
      </c>
      <c r="B43" s="4"/>
      <c r="C43" s="4"/>
      <c r="D43" s="4"/>
      <c r="E43" s="4"/>
      <c r="F43" s="4"/>
      <c r="G43" s="4"/>
      <c r="H43" s="4"/>
      <c r="I43" s="4"/>
      <c r="J43" s="4"/>
      <c r="K43" s="4"/>
      <c r="L43" s="4"/>
    </row>
    <row r="44" spans="1:12" ht="31.95" customHeight="1" x14ac:dyDescent="0.3">
      <c r="A44" s="27" t="s">
        <v>64</v>
      </c>
      <c r="B44" s="21" t="s">
        <v>65</v>
      </c>
      <c r="C44" s="21" t="s">
        <v>39</v>
      </c>
      <c r="D44" s="21" t="s">
        <v>40</v>
      </c>
      <c r="E44" s="21" t="s">
        <v>41</v>
      </c>
      <c r="F44" s="21" t="s">
        <v>66</v>
      </c>
      <c r="G44" s="21" t="s">
        <v>67</v>
      </c>
      <c r="H44" s="21" t="s">
        <v>68</v>
      </c>
    </row>
    <row r="45" spans="1:12" x14ac:dyDescent="0.3">
      <c r="A45" s="6" t="s">
        <v>69</v>
      </c>
      <c r="B45" s="44">
        <v>1</v>
      </c>
      <c r="C45" s="22">
        <v>4145864</v>
      </c>
      <c r="D45" s="22">
        <v>5656950</v>
      </c>
      <c r="E45" s="22">
        <v>4417950</v>
      </c>
      <c r="F45" s="22">
        <v>20745764</v>
      </c>
      <c r="G45" s="22">
        <v>5845254</v>
      </c>
      <c r="H45" s="45" t="s">
        <v>70</v>
      </c>
    </row>
    <row r="46" spans="1:12" x14ac:dyDescent="0.3">
      <c r="A46" s="6" t="s">
        <v>69</v>
      </c>
      <c r="B46" s="44">
        <v>0.7</v>
      </c>
      <c r="C46" s="22">
        <v>-1326564</v>
      </c>
      <c r="D46" s="22">
        <v>-556848</v>
      </c>
      <c r="E46" s="22">
        <v>-1468248</v>
      </c>
      <c r="F46" s="22">
        <v>3173340</v>
      </c>
      <c r="G46" s="22">
        <v>3173340</v>
      </c>
      <c r="H46" s="46" t="s">
        <v>71</v>
      </c>
    </row>
    <row r="47" spans="1:12" x14ac:dyDescent="0.3">
      <c r="A47" s="6" t="s">
        <v>72</v>
      </c>
      <c r="B47" s="44">
        <v>1</v>
      </c>
      <c r="C47" s="22">
        <v>3877433</v>
      </c>
      <c r="D47" s="22">
        <v>4954950</v>
      </c>
      <c r="E47" s="22">
        <v>3715950</v>
      </c>
      <c r="F47" s="22">
        <v>19073333</v>
      </c>
      <c r="G47" s="22">
        <v>5845254</v>
      </c>
      <c r="H47" s="45" t="s">
        <v>70</v>
      </c>
    </row>
    <row r="48" spans="1:12" x14ac:dyDescent="0.3">
      <c r="A48" s="6" t="s">
        <v>72</v>
      </c>
      <c r="B48" s="44">
        <v>0.7</v>
      </c>
      <c r="C48" s="22">
        <v>-1486269</v>
      </c>
      <c r="D48" s="22">
        <v>-989280</v>
      </c>
      <c r="E48" s="22">
        <v>-1900680</v>
      </c>
      <c r="F48" s="22">
        <v>2148771</v>
      </c>
      <c r="G48" s="22">
        <v>2148771</v>
      </c>
      <c r="H48" s="46" t="s">
        <v>71</v>
      </c>
    </row>
    <row r="49" spans="1:8" x14ac:dyDescent="0.3">
      <c r="A49" s="6" t="s">
        <v>73</v>
      </c>
      <c r="B49" s="44">
        <v>1</v>
      </c>
      <c r="C49" s="22">
        <v>5311323</v>
      </c>
      <c r="D49" s="22">
        <v>9130350</v>
      </c>
      <c r="E49" s="22">
        <v>7699350</v>
      </c>
      <c r="F49" s="22">
        <v>28666023</v>
      </c>
      <c r="G49" s="22">
        <v>5845254</v>
      </c>
      <c r="H49" s="45" t="s">
        <v>70</v>
      </c>
    </row>
    <row r="50" spans="1:8" x14ac:dyDescent="0.3">
      <c r="A50" s="6" t="s">
        <v>73</v>
      </c>
      <c r="B50" s="44">
        <v>0.7</v>
      </c>
      <c r="C50" s="22">
        <v>-797640</v>
      </c>
      <c r="D50" s="22">
        <v>1415370</v>
      </c>
      <c r="E50" s="22">
        <v>311970</v>
      </c>
      <c r="F50" s="22">
        <v>7454700</v>
      </c>
      <c r="G50" s="22">
        <v>4939723</v>
      </c>
      <c r="H50" s="46" t="s">
        <v>71</v>
      </c>
    </row>
    <row r="51" spans="1:8" x14ac:dyDescent="0.3">
      <c r="A51" s="6" t="s">
        <v>74</v>
      </c>
      <c r="B51" s="44">
        <v>1</v>
      </c>
      <c r="C51" s="22">
        <v>3521088</v>
      </c>
      <c r="D51" s="22">
        <v>4438300</v>
      </c>
      <c r="E51" s="22">
        <v>3537300</v>
      </c>
      <c r="F51" s="22">
        <v>18021688</v>
      </c>
      <c r="G51" s="22">
        <v>5845254</v>
      </c>
      <c r="H51" s="45" t="s">
        <v>70</v>
      </c>
    </row>
    <row r="52" spans="1:8" x14ac:dyDescent="0.3">
      <c r="A52" s="6" t="s">
        <v>74</v>
      </c>
      <c r="B52" s="44">
        <v>0.7</v>
      </c>
      <c r="C52" s="22">
        <v>-2220249</v>
      </c>
      <c r="D52" s="22">
        <v>-2431940</v>
      </c>
      <c r="E52" s="22">
        <v>-3005340</v>
      </c>
      <c r="F52" s="22">
        <v>-1132529</v>
      </c>
      <c r="G52" s="22">
        <v>-1132529</v>
      </c>
      <c r="H52" s="46" t="s">
        <v>71</v>
      </c>
    </row>
    <row r="54" spans="1:8" x14ac:dyDescent="0.3">
      <c r="A54" s="2" t="s">
        <v>75</v>
      </c>
    </row>
    <row r="55" spans="1:8" x14ac:dyDescent="0.3">
      <c r="A55" s="2" t="s">
        <v>76</v>
      </c>
    </row>
    <row r="56" spans="1:8" x14ac:dyDescent="0.3">
      <c r="A56" s="2" t="s">
        <v>77</v>
      </c>
    </row>
    <row r="57" spans="1:8" x14ac:dyDescent="0.3">
      <c r="A57" s="2" t="s">
        <v>78</v>
      </c>
    </row>
    <row r="58" spans="1:8" x14ac:dyDescent="0.3">
      <c r="A58" s="2"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eetViews>
  <sheetFormatPr baseColWidth="10" defaultColWidth="8.88671875" defaultRowHeight="14.4" x14ac:dyDescent="0.3"/>
  <cols>
    <col min="1" max="1" width="62" style="35" customWidth="1"/>
    <col min="2" max="2" width="18" style="35" customWidth="1"/>
    <col min="3" max="3" width="52" style="35" customWidth="1"/>
    <col min="4" max="4" width="62" style="35" customWidth="1"/>
    <col min="5" max="5" width="36" style="35" customWidth="1"/>
  </cols>
  <sheetData>
    <row r="1" spans="1:5" ht="17.399999999999999" x14ac:dyDescent="0.3">
      <c r="A1" s="1" t="s">
        <v>80</v>
      </c>
    </row>
    <row r="3" spans="1:5" ht="31.95" customHeight="1" x14ac:dyDescent="0.3">
      <c r="A3" s="27" t="s">
        <v>81</v>
      </c>
      <c r="B3" s="21" t="s">
        <v>82</v>
      </c>
      <c r="C3" s="21" t="s">
        <v>83</v>
      </c>
      <c r="D3" s="21" t="s">
        <v>84</v>
      </c>
      <c r="E3" s="21" t="s">
        <v>85</v>
      </c>
    </row>
    <row r="4" spans="1:5" ht="48" customHeight="1" x14ac:dyDescent="0.3">
      <c r="A4" s="34" t="s">
        <v>86</v>
      </c>
      <c r="B4" s="34" t="s">
        <v>87</v>
      </c>
      <c r="C4" s="34" t="s">
        <v>88</v>
      </c>
      <c r="D4" s="34" t="s">
        <v>89</v>
      </c>
      <c r="E4" s="34" t="s">
        <v>90</v>
      </c>
    </row>
    <row r="5" spans="1:5" ht="48" customHeight="1" x14ac:dyDescent="0.3">
      <c r="A5" s="34" t="s">
        <v>91</v>
      </c>
      <c r="B5" s="34" t="s">
        <v>87</v>
      </c>
      <c r="C5" s="34" t="s">
        <v>92</v>
      </c>
      <c r="D5" s="34" t="s">
        <v>93</v>
      </c>
      <c r="E5" s="34" t="s">
        <v>94</v>
      </c>
    </row>
    <row r="6" spans="1:5" ht="48" customHeight="1" x14ac:dyDescent="0.3">
      <c r="A6" s="34" t="s">
        <v>95</v>
      </c>
      <c r="B6" s="34" t="s">
        <v>96</v>
      </c>
      <c r="C6" s="34" t="s">
        <v>97</v>
      </c>
      <c r="D6" s="34" t="s">
        <v>98</v>
      </c>
      <c r="E6" s="34" t="s">
        <v>99</v>
      </c>
    </row>
    <row r="7" spans="1:5" ht="48" customHeight="1" x14ac:dyDescent="0.3">
      <c r="A7" s="34" t="s">
        <v>100</v>
      </c>
      <c r="B7" s="34" t="s">
        <v>87</v>
      </c>
      <c r="C7" s="34" t="s">
        <v>101</v>
      </c>
      <c r="D7" s="34" t="s">
        <v>102</v>
      </c>
      <c r="E7" s="34" t="s">
        <v>103</v>
      </c>
    </row>
    <row r="8" spans="1:5" ht="48" customHeight="1" x14ac:dyDescent="0.3">
      <c r="A8" s="34" t="s">
        <v>104</v>
      </c>
      <c r="B8" s="34" t="s">
        <v>87</v>
      </c>
      <c r="C8" s="34" t="s">
        <v>105</v>
      </c>
      <c r="D8" s="34" t="s">
        <v>106</v>
      </c>
      <c r="E8" s="34" t="s">
        <v>107</v>
      </c>
    </row>
    <row r="9" spans="1:5" ht="48" customHeight="1" x14ac:dyDescent="0.3">
      <c r="A9" s="34" t="s">
        <v>108</v>
      </c>
      <c r="B9" s="34" t="s">
        <v>87</v>
      </c>
      <c r="C9" s="34" t="s">
        <v>109</v>
      </c>
      <c r="D9" s="34" t="s">
        <v>110</v>
      </c>
      <c r="E9" s="34" t="s">
        <v>111</v>
      </c>
    </row>
    <row r="10" spans="1:5" ht="48" customHeight="1" x14ac:dyDescent="0.3">
      <c r="A10" s="34" t="s">
        <v>112</v>
      </c>
      <c r="B10" s="34" t="s">
        <v>113</v>
      </c>
      <c r="C10" s="34" t="s">
        <v>114</v>
      </c>
      <c r="D10" s="34" t="s">
        <v>115</v>
      </c>
      <c r="E10" s="34" t="s">
        <v>116</v>
      </c>
    </row>
    <row r="11" spans="1:5" ht="48" customHeight="1" x14ac:dyDescent="0.3">
      <c r="A11" s="34" t="s">
        <v>117</v>
      </c>
      <c r="B11" s="34" t="s">
        <v>118</v>
      </c>
      <c r="C11" s="34" t="s">
        <v>119</v>
      </c>
      <c r="D11" s="34" t="s">
        <v>120</v>
      </c>
      <c r="E11" s="34" t="s">
        <v>121</v>
      </c>
    </row>
    <row r="12" spans="1:5" ht="48" customHeight="1" x14ac:dyDescent="0.3">
      <c r="A12" s="34" t="s">
        <v>122</v>
      </c>
      <c r="B12" s="34" t="s">
        <v>118</v>
      </c>
      <c r="C12" s="34" t="s">
        <v>123</v>
      </c>
      <c r="D12" s="34" t="s">
        <v>124</v>
      </c>
      <c r="E12" s="34" t="s">
        <v>125</v>
      </c>
    </row>
    <row r="13" spans="1:5" ht="48" customHeight="1" x14ac:dyDescent="0.3">
      <c r="A13" s="34" t="s">
        <v>126</v>
      </c>
      <c r="B13" s="34" t="s">
        <v>118</v>
      </c>
      <c r="C13" s="34" t="s">
        <v>127</v>
      </c>
      <c r="D13" s="34" t="s">
        <v>128</v>
      </c>
      <c r="E13" s="34" t="s">
        <v>129</v>
      </c>
    </row>
    <row r="15" spans="1:5" x14ac:dyDescent="0.3">
      <c r="A15" s="2" t="s">
        <v>130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
  <sheetViews>
    <sheetView showGridLines="0" topLeftCell="A56" workbookViewId="0"/>
  </sheetViews>
  <sheetFormatPr baseColWidth="10" defaultColWidth="8.88671875" defaultRowHeight="14.4" x14ac:dyDescent="0.3"/>
  <cols>
    <col min="1" max="1" width="62" style="35" customWidth="1"/>
    <col min="2" max="2" width="16" style="35" customWidth="1"/>
    <col min="3" max="3" width="95" style="35" customWidth="1"/>
  </cols>
  <sheetData>
    <row r="1" spans="1:3" ht="17.399999999999999" customHeight="1" x14ac:dyDescent="0.3">
      <c r="A1" s="1" t="s">
        <v>131</v>
      </c>
    </row>
    <row r="2" spans="1:3" x14ac:dyDescent="0.3">
      <c r="A2" s="2" t="s">
        <v>132</v>
      </c>
    </row>
    <row r="4" spans="1:3" x14ac:dyDescent="0.3">
      <c r="A4" s="4" t="s">
        <v>133</v>
      </c>
      <c r="B4" s="5"/>
      <c r="C4" s="5"/>
    </row>
    <row r="5" spans="1:3" x14ac:dyDescent="0.3">
      <c r="A5" s="6" t="s">
        <v>134</v>
      </c>
      <c r="B5" s="17">
        <v>1</v>
      </c>
      <c r="C5" s="2" t="s">
        <v>135</v>
      </c>
    </row>
    <row r="6" spans="1:3" x14ac:dyDescent="0.3">
      <c r="A6" s="6" t="s">
        <v>136</v>
      </c>
      <c r="B6" s="17">
        <v>5</v>
      </c>
      <c r="C6" s="2" t="s">
        <v>135</v>
      </c>
    </row>
    <row r="8" spans="1:3" x14ac:dyDescent="0.3">
      <c r="A8" s="4" t="s">
        <v>137</v>
      </c>
      <c r="B8" s="5"/>
      <c r="C8" s="5"/>
    </row>
    <row r="9" spans="1:3" x14ac:dyDescent="0.3">
      <c r="A9" s="6" t="s">
        <v>138</v>
      </c>
      <c r="B9" s="18">
        <v>1550000</v>
      </c>
      <c r="C9" s="2" t="s">
        <v>139</v>
      </c>
    </row>
    <row r="10" spans="1:3" x14ac:dyDescent="0.3">
      <c r="A10" s="6" t="s">
        <v>140</v>
      </c>
      <c r="B10" s="19">
        <v>0.3</v>
      </c>
      <c r="C10" s="2" t="s">
        <v>141</v>
      </c>
    </row>
    <row r="11" spans="1:3" x14ac:dyDescent="0.3">
      <c r="A11" s="6" t="s">
        <v>142</v>
      </c>
      <c r="B11" s="17">
        <v>12</v>
      </c>
      <c r="C11" s="2" t="s">
        <v>143</v>
      </c>
    </row>
    <row r="12" spans="1:3" x14ac:dyDescent="0.3">
      <c r="A12" s="6" t="s">
        <v>144</v>
      </c>
      <c r="B12" s="18">
        <v>475000</v>
      </c>
      <c r="C12" s="2" t="s">
        <v>145</v>
      </c>
    </row>
    <row r="14" spans="1:3" x14ac:dyDescent="0.3">
      <c r="A14" s="4" t="s">
        <v>146</v>
      </c>
      <c r="B14" s="5"/>
      <c r="C14" s="5"/>
    </row>
    <row r="15" spans="1:3" x14ac:dyDescent="0.3">
      <c r="A15" s="6" t="s">
        <v>147</v>
      </c>
      <c r="B15" s="18">
        <v>75000</v>
      </c>
      <c r="C15" s="2" t="s">
        <v>148</v>
      </c>
    </row>
    <row r="16" spans="1:3" x14ac:dyDescent="0.3">
      <c r="A16" s="6" t="s">
        <v>149</v>
      </c>
      <c r="B16" s="18">
        <v>50000</v>
      </c>
      <c r="C16" s="2" t="s">
        <v>150</v>
      </c>
    </row>
    <row r="17" spans="1:3" x14ac:dyDescent="0.3">
      <c r="A17" s="6" t="s">
        <v>151</v>
      </c>
      <c r="B17" s="18">
        <v>139000</v>
      </c>
      <c r="C17" s="2" t="s">
        <v>152</v>
      </c>
    </row>
    <row r="18" spans="1:3" x14ac:dyDescent="0.3">
      <c r="A18" s="6" t="s">
        <v>153</v>
      </c>
      <c r="B18" s="18">
        <v>89000</v>
      </c>
      <c r="C18" s="2" t="s">
        <v>154</v>
      </c>
    </row>
    <row r="19" spans="1:3" x14ac:dyDescent="0.3">
      <c r="A19" s="6" t="s">
        <v>155</v>
      </c>
      <c r="B19" s="18">
        <v>139000</v>
      </c>
      <c r="C19" s="2" t="s">
        <v>156</v>
      </c>
    </row>
    <row r="21" spans="1:3" x14ac:dyDescent="0.3">
      <c r="A21" s="4" t="s">
        <v>157</v>
      </c>
      <c r="B21" s="5"/>
      <c r="C21" s="5"/>
    </row>
    <row r="22" spans="1:3" x14ac:dyDescent="0.3">
      <c r="A22" s="6" t="s">
        <v>158</v>
      </c>
      <c r="B22" s="18">
        <v>1500000</v>
      </c>
      <c r="C22" s="2" t="s">
        <v>159</v>
      </c>
    </row>
    <row r="23" spans="1:3" x14ac:dyDescent="0.3">
      <c r="A23" s="6" t="s">
        <v>160</v>
      </c>
      <c r="B23" s="18">
        <v>300000</v>
      </c>
      <c r="C23" s="2" t="s">
        <v>159</v>
      </c>
    </row>
    <row r="24" spans="1:3" x14ac:dyDescent="0.3">
      <c r="A24" s="6" t="s">
        <v>161</v>
      </c>
      <c r="B24" s="18">
        <v>100000</v>
      </c>
      <c r="C24" s="2" t="s">
        <v>159</v>
      </c>
    </row>
    <row r="25" spans="1:3" x14ac:dyDescent="0.3">
      <c r="A25" s="6" t="s">
        <v>162</v>
      </c>
      <c r="B25" s="18">
        <v>500000</v>
      </c>
      <c r="C25" s="2" t="s">
        <v>159</v>
      </c>
    </row>
    <row r="26" spans="1:3" x14ac:dyDescent="0.3">
      <c r="A26" s="6" t="s">
        <v>163</v>
      </c>
      <c r="B26" s="18">
        <v>1000000</v>
      </c>
      <c r="C26" s="2" t="s">
        <v>159</v>
      </c>
    </row>
    <row r="27" spans="1:3" x14ac:dyDescent="0.3">
      <c r="A27" s="6" t="s">
        <v>164</v>
      </c>
      <c r="B27" s="18">
        <v>1000000</v>
      </c>
      <c r="C27" s="2" t="s">
        <v>534</v>
      </c>
    </row>
    <row r="28" spans="1:3" x14ac:dyDescent="0.3">
      <c r="A28" s="6" t="s">
        <v>165</v>
      </c>
      <c r="B28" s="18">
        <v>150000</v>
      </c>
      <c r="C28" s="2" t="s">
        <v>159</v>
      </c>
    </row>
    <row r="30" spans="1:3" x14ac:dyDescent="0.3">
      <c r="A30" s="4" t="s">
        <v>166</v>
      </c>
      <c r="B30" s="5"/>
      <c r="C30" s="5"/>
    </row>
    <row r="31" spans="1:3" x14ac:dyDescent="0.3">
      <c r="A31" s="6" t="s">
        <v>167</v>
      </c>
      <c r="B31" s="18">
        <v>100000</v>
      </c>
      <c r="C31" s="2" t="s">
        <v>168</v>
      </c>
    </row>
    <row r="32" spans="1:3" x14ac:dyDescent="0.3">
      <c r="A32" s="6" t="s">
        <v>169</v>
      </c>
      <c r="B32" s="18">
        <v>75000</v>
      </c>
      <c r="C32" s="2" t="s">
        <v>170</v>
      </c>
    </row>
    <row r="33" spans="1:3" x14ac:dyDescent="0.3">
      <c r="A33" s="6" t="s">
        <v>171</v>
      </c>
      <c r="B33" s="18">
        <v>200000</v>
      </c>
      <c r="C33" s="2" t="s">
        <v>168</v>
      </c>
    </row>
    <row r="34" spans="1:3" x14ac:dyDescent="0.3">
      <c r="A34" s="6" t="s">
        <v>172</v>
      </c>
      <c r="B34" s="17">
        <v>13</v>
      </c>
      <c r="C34" s="2" t="s">
        <v>173</v>
      </c>
    </row>
    <row r="35" spans="1:3" x14ac:dyDescent="0.3">
      <c r="A35" s="6" t="s">
        <v>174</v>
      </c>
      <c r="B35" s="18">
        <v>75000</v>
      </c>
      <c r="C35" s="2" t="s">
        <v>175</v>
      </c>
    </row>
    <row r="36" spans="1:3" x14ac:dyDescent="0.3">
      <c r="A36" s="6" t="s">
        <v>176</v>
      </c>
      <c r="B36" s="18">
        <v>100000</v>
      </c>
      <c r="C36" s="2" t="s">
        <v>168</v>
      </c>
    </row>
    <row r="37" spans="1:3" x14ac:dyDescent="0.3">
      <c r="A37" s="6" t="s">
        <v>177</v>
      </c>
      <c r="B37" s="18">
        <v>50000</v>
      </c>
      <c r="C37" s="2" t="s">
        <v>168</v>
      </c>
    </row>
    <row r="38" spans="1:3" x14ac:dyDescent="0.3">
      <c r="A38" s="6" t="s">
        <v>178</v>
      </c>
      <c r="B38" s="18">
        <v>50000</v>
      </c>
      <c r="C38" s="2" t="s">
        <v>168</v>
      </c>
    </row>
    <row r="39" spans="1:3" x14ac:dyDescent="0.3">
      <c r="A39" s="6" t="s">
        <v>179</v>
      </c>
      <c r="B39" s="18">
        <v>75000</v>
      </c>
      <c r="C39" s="2" t="s">
        <v>168</v>
      </c>
    </row>
    <row r="40" spans="1:3" x14ac:dyDescent="0.3">
      <c r="A40" s="6" t="s">
        <v>180</v>
      </c>
      <c r="B40" s="18">
        <v>50000</v>
      </c>
      <c r="C40" s="2" t="s">
        <v>168</v>
      </c>
    </row>
    <row r="41" spans="1:3" x14ac:dyDescent="0.3">
      <c r="A41" s="6" t="s">
        <v>181</v>
      </c>
      <c r="B41" s="18">
        <v>100000</v>
      </c>
      <c r="C41" s="2" t="s">
        <v>168</v>
      </c>
    </row>
    <row r="42" spans="1:3" x14ac:dyDescent="0.3">
      <c r="A42" s="6" t="s">
        <v>182</v>
      </c>
      <c r="B42" s="17">
        <v>6</v>
      </c>
      <c r="C42" s="2" t="s">
        <v>183</v>
      </c>
    </row>
    <row r="43" spans="1:3" x14ac:dyDescent="0.3">
      <c r="A43" s="6" t="s">
        <v>184</v>
      </c>
      <c r="B43" s="38">
        <v>0.03</v>
      </c>
      <c r="C43" s="2" t="s">
        <v>185</v>
      </c>
    </row>
    <row r="44" spans="1:3" x14ac:dyDescent="0.3">
      <c r="A44" s="6" t="s">
        <v>186</v>
      </c>
      <c r="B44" s="18">
        <v>150000</v>
      </c>
      <c r="C44" s="2" t="s">
        <v>168</v>
      </c>
    </row>
    <row r="45" spans="1:3" x14ac:dyDescent="0.3">
      <c r="A45" s="6" t="s">
        <v>187</v>
      </c>
      <c r="B45" s="18">
        <v>10000</v>
      </c>
      <c r="C45" s="2" t="s">
        <v>188</v>
      </c>
    </row>
    <row r="46" spans="1:3" x14ac:dyDescent="0.3">
      <c r="A46" s="6" t="s">
        <v>189</v>
      </c>
      <c r="B46" s="18">
        <v>5850</v>
      </c>
      <c r="C46" s="2" t="s">
        <v>190</v>
      </c>
    </row>
    <row r="47" spans="1:3" x14ac:dyDescent="0.3">
      <c r="A47" s="6" t="s">
        <v>191</v>
      </c>
      <c r="B47" s="17">
        <v>26</v>
      </c>
      <c r="C47" s="2" t="s">
        <v>192</v>
      </c>
    </row>
    <row r="48" spans="1:3" x14ac:dyDescent="0.3">
      <c r="A48" s="6" t="s">
        <v>193</v>
      </c>
      <c r="B48" s="18">
        <v>280000</v>
      </c>
      <c r="C48" s="2" t="s">
        <v>194</v>
      </c>
    </row>
    <row r="49" spans="1:3" x14ac:dyDescent="0.3">
      <c r="A49" s="6" t="s">
        <v>195</v>
      </c>
      <c r="B49" s="18">
        <v>254000</v>
      </c>
      <c r="C49" s="2" t="s">
        <v>196</v>
      </c>
    </row>
    <row r="50" spans="1:3" x14ac:dyDescent="0.3">
      <c r="A50" s="6" t="s">
        <v>197</v>
      </c>
      <c r="B50" s="18">
        <v>70000</v>
      </c>
      <c r="C50" s="2" t="s">
        <v>198</v>
      </c>
    </row>
    <row r="51" spans="1:3" x14ac:dyDescent="0.3">
      <c r="A51" s="6" t="s">
        <v>199</v>
      </c>
      <c r="B51" s="19">
        <v>0.17</v>
      </c>
      <c r="C51" s="2" t="s">
        <v>200</v>
      </c>
    </row>
    <row r="53" spans="1:3" x14ac:dyDescent="0.3">
      <c r="A53" s="4" t="s">
        <v>201</v>
      </c>
      <c r="B53" s="5"/>
      <c r="C53" s="5"/>
    </row>
    <row r="54" spans="1:3" x14ac:dyDescent="0.3">
      <c r="A54" s="6" t="s">
        <v>202</v>
      </c>
      <c r="B54" s="18">
        <v>15000000</v>
      </c>
      <c r="C54" s="2" t="s">
        <v>203</v>
      </c>
    </row>
    <row r="56" spans="1:3" x14ac:dyDescent="0.3">
      <c r="A56" s="4" t="s">
        <v>204</v>
      </c>
      <c r="B56" s="5"/>
      <c r="C56" s="5"/>
    </row>
    <row r="57" spans="1:3" x14ac:dyDescent="0.3">
      <c r="A57" s="6" t="s">
        <v>205</v>
      </c>
      <c r="B57" s="17">
        <v>6</v>
      </c>
      <c r="C57" s="2" t="s">
        <v>206</v>
      </c>
    </row>
    <row r="58" spans="1:3" x14ac:dyDescent="0.3">
      <c r="A58" s="6" t="s">
        <v>207</v>
      </c>
      <c r="B58" s="17">
        <v>3</v>
      </c>
      <c r="C58" s="2"/>
    </row>
    <row r="59" spans="1:3" x14ac:dyDescent="0.3">
      <c r="A59" s="6" t="s">
        <v>208</v>
      </c>
      <c r="B59" s="17">
        <v>1</v>
      </c>
      <c r="C59" s="2" t="s">
        <v>209</v>
      </c>
    </row>
    <row r="60" spans="1:3" x14ac:dyDescent="0.3">
      <c r="A60" s="6" t="s">
        <v>210</v>
      </c>
      <c r="B60" s="18">
        <v>13700</v>
      </c>
      <c r="C60" s="2" t="s">
        <v>211</v>
      </c>
    </row>
    <row r="61" spans="1:3" x14ac:dyDescent="0.3">
      <c r="A61" s="6" t="s">
        <v>212</v>
      </c>
      <c r="B61" s="18">
        <v>16700</v>
      </c>
      <c r="C61" s="2" t="s">
        <v>213</v>
      </c>
    </row>
    <row r="62" spans="1:3" x14ac:dyDescent="0.3">
      <c r="A62" s="6" t="s">
        <v>214</v>
      </c>
      <c r="B62" s="19">
        <v>0.25</v>
      </c>
      <c r="C62" s="2" t="s">
        <v>215</v>
      </c>
    </row>
    <row r="63" spans="1:3" x14ac:dyDescent="0.3">
      <c r="A63" s="6" t="s">
        <v>216</v>
      </c>
      <c r="B63" s="19">
        <v>0.25</v>
      </c>
      <c r="C63" s="2" t="s">
        <v>217</v>
      </c>
    </row>
    <row r="64" spans="1:3" x14ac:dyDescent="0.3">
      <c r="A64" s="6" t="s">
        <v>218</v>
      </c>
      <c r="B64" s="19">
        <v>0.2</v>
      </c>
      <c r="C64" s="2" t="s">
        <v>219</v>
      </c>
    </row>
    <row r="65" spans="1:3" x14ac:dyDescent="0.3">
      <c r="A65" s="6" t="s">
        <v>220</v>
      </c>
      <c r="B65" s="17">
        <v>36</v>
      </c>
      <c r="C65" s="2" t="s">
        <v>221</v>
      </c>
    </row>
    <row r="66" spans="1:3" x14ac:dyDescent="0.3">
      <c r="A66" s="6" t="s">
        <v>222</v>
      </c>
      <c r="B66" s="17">
        <v>48</v>
      </c>
      <c r="C66" s="2" t="s">
        <v>223</v>
      </c>
    </row>
    <row r="67" spans="1:3" x14ac:dyDescent="0.3">
      <c r="A67" s="6" t="s">
        <v>224</v>
      </c>
      <c r="B67" s="18">
        <v>0</v>
      </c>
      <c r="C67" s="2" t="s">
        <v>225</v>
      </c>
    </row>
    <row r="68" spans="1:3" x14ac:dyDescent="0.3">
      <c r="A68" s="6" t="s">
        <v>226</v>
      </c>
      <c r="B68" s="20" t="s">
        <v>227</v>
      </c>
      <c r="C68" s="2" t="s">
        <v>228</v>
      </c>
    </row>
    <row r="70" spans="1:3" x14ac:dyDescent="0.3">
      <c r="A70" s="4" t="s">
        <v>229</v>
      </c>
      <c r="B70" s="5"/>
      <c r="C70" s="5"/>
    </row>
    <row r="71" spans="1:3" x14ac:dyDescent="0.3">
      <c r="A71" s="6" t="s">
        <v>230</v>
      </c>
      <c r="B71" s="19">
        <v>0.55000000000000004</v>
      </c>
      <c r="C71" s="2" t="s">
        <v>231</v>
      </c>
    </row>
    <row r="72" spans="1:3" x14ac:dyDescent="0.3">
      <c r="A72" s="6" t="s">
        <v>232</v>
      </c>
      <c r="B72" s="19">
        <v>0.55000000000000004</v>
      </c>
      <c r="C72" s="2" t="s">
        <v>233</v>
      </c>
    </row>
    <row r="73" spans="1:3" x14ac:dyDescent="0.3">
      <c r="A73" s="6" t="s">
        <v>234</v>
      </c>
      <c r="B73" s="19">
        <v>0.2</v>
      </c>
      <c r="C73" s="2" t="s">
        <v>219</v>
      </c>
    </row>
    <row r="74" spans="1:3" x14ac:dyDescent="0.3">
      <c r="A74" s="6" t="s">
        <v>235</v>
      </c>
      <c r="B74" s="17">
        <v>24</v>
      </c>
      <c r="C74" s="2" t="s">
        <v>236</v>
      </c>
    </row>
    <row r="75" spans="1:3" x14ac:dyDescent="0.3">
      <c r="A75" s="6" t="s">
        <v>237</v>
      </c>
      <c r="B75" s="18">
        <v>3500</v>
      </c>
      <c r="C75" s="2" t="s">
        <v>238</v>
      </c>
    </row>
    <row r="76" spans="1:3" x14ac:dyDescent="0.3">
      <c r="A76" s="6" t="s">
        <v>239</v>
      </c>
      <c r="B76" s="17">
        <v>12</v>
      </c>
      <c r="C76" s="2" t="s">
        <v>240</v>
      </c>
    </row>
    <row r="77" spans="1:3" x14ac:dyDescent="0.3">
      <c r="A77" s="6" t="s">
        <v>241</v>
      </c>
      <c r="B77" s="19">
        <v>0.2</v>
      </c>
      <c r="C77" s="2" t="s">
        <v>242</v>
      </c>
    </row>
    <row r="79" spans="1:3" x14ac:dyDescent="0.3">
      <c r="A79" s="4" t="s">
        <v>243</v>
      </c>
      <c r="B79" s="5"/>
      <c r="C79" s="5"/>
    </row>
    <row r="80" spans="1:3" x14ac:dyDescent="0.3">
      <c r="A80" s="6" t="s">
        <v>244</v>
      </c>
      <c r="B80" s="18">
        <v>1000</v>
      </c>
      <c r="C80" s="2" t="s">
        <v>245</v>
      </c>
    </row>
    <row r="81" spans="1:3" x14ac:dyDescent="0.3">
      <c r="A81" s="6" t="s">
        <v>246</v>
      </c>
      <c r="B81" s="19">
        <v>0.25</v>
      </c>
      <c r="C81" s="2" t="s">
        <v>247</v>
      </c>
    </row>
    <row r="82" spans="1:3" x14ac:dyDescent="0.3">
      <c r="A82" s="6" t="s">
        <v>248</v>
      </c>
      <c r="B82" s="17">
        <v>21</v>
      </c>
      <c r="C82" s="2" t="s">
        <v>249</v>
      </c>
    </row>
    <row r="84" spans="1:3" x14ac:dyDescent="0.3">
      <c r="A84" s="2" t="s">
        <v>250</v>
      </c>
    </row>
    <row r="86" spans="1:3" x14ac:dyDescent="0.3">
      <c r="A86" s="4" t="s">
        <v>251</v>
      </c>
      <c r="B86" s="5"/>
      <c r="C86" s="5"/>
    </row>
    <row r="87" spans="1:3" x14ac:dyDescent="0.3">
      <c r="A87" s="6" t="s">
        <v>252</v>
      </c>
      <c r="B87" s="17">
        <v>36</v>
      </c>
      <c r="C87" s="2" t="s">
        <v>253</v>
      </c>
    </row>
    <row r="88" spans="1:3" x14ac:dyDescent="0.3">
      <c r="A88" s="6" t="s">
        <v>254</v>
      </c>
      <c r="B88" s="19">
        <v>0.3</v>
      </c>
      <c r="C88" s="2" t="s">
        <v>255</v>
      </c>
    </row>
    <row r="89" spans="1:3" x14ac:dyDescent="0.3">
      <c r="A89" s="6" t="s">
        <v>256</v>
      </c>
      <c r="B89" s="17">
        <v>2</v>
      </c>
      <c r="C89" s="2" t="s">
        <v>257</v>
      </c>
    </row>
    <row r="90" spans="1:3" x14ac:dyDescent="0.3">
      <c r="A90" s="6" t="s">
        <v>258</v>
      </c>
      <c r="B90" s="18">
        <v>95000</v>
      </c>
      <c r="C90" s="2" t="s">
        <v>259</v>
      </c>
    </row>
    <row r="91" spans="1:3" x14ac:dyDescent="0.3">
      <c r="A91" s="6" t="s">
        <v>260</v>
      </c>
      <c r="B91" s="17">
        <v>7</v>
      </c>
      <c r="C91" s="2" t="s">
        <v>261</v>
      </c>
    </row>
    <row r="92" spans="1:3" x14ac:dyDescent="0.3">
      <c r="A92" s="6" t="s">
        <v>262</v>
      </c>
      <c r="B92" s="18">
        <v>50000</v>
      </c>
      <c r="C92" s="2" t="s">
        <v>263</v>
      </c>
    </row>
    <row r="93" spans="1:3" x14ac:dyDescent="0.3">
      <c r="A93" s="4" t="s">
        <v>264</v>
      </c>
      <c r="B93" s="5"/>
      <c r="C93" s="5"/>
    </row>
    <row r="94" spans="1:3" x14ac:dyDescent="0.3">
      <c r="A94" s="6" t="s">
        <v>265</v>
      </c>
      <c r="B94" s="19">
        <v>1</v>
      </c>
      <c r="C94" s="2" t="s">
        <v>266</v>
      </c>
    </row>
    <row r="95" spans="1:3" x14ac:dyDescent="0.3">
      <c r="A95" s="6" t="s">
        <v>267</v>
      </c>
      <c r="B95" s="17">
        <v>3</v>
      </c>
      <c r="C95" s="2" t="s">
        <v>268</v>
      </c>
    </row>
    <row r="96" spans="1:3" x14ac:dyDescent="0.3">
      <c r="A96" s="6" t="s">
        <v>269</v>
      </c>
      <c r="B96" s="17">
        <v>3</v>
      </c>
      <c r="C96" s="2" t="s">
        <v>270</v>
      </c>
    </row>
    <row r="97" spans="1:3" x14ac:dyDescent="0.3">
      <c r="A97" s="6" t="s">
        <v>271</v>
      </c>
      <c r="B97" s="17">
        <v>0</v>
      </c>
      <c r="C97" s="2" t="s">
        <v>272</v>
      </c>
    </row>
    <row r="98" spans="1:3" x14ac:dyDescent="0.3">
      <c r="A98" s="6" t="s">
        <v>273</v>
      </c>
      <c r="B98" s="17">
        <v>0</v>
      </c>
      <c r="C98" s="2" t="s">
        <v>274</v>
      </c>
    </row>
    <row r="99" spans="1:3" x14ac:dyDescent="0.3">
      <c r="A99" s="6" t="s">
        <v>275</v>
      </c>
      <c r="B99" s="17">
        <v>4</v>
      </c>
      <c r="C99" s="2" t="s">
        <v>276</v>
      </c>
    </row>
    <row r="100" spans="1:3" x14ac:dyDescent="0.3">
      <c r="A100" s="6" t="s">
        <v>277</v>
      </c>
      <c r="B100" s="17">
        <v>12</v>
      </c>
      <c r="C100" s="2" t="s">
        <v>278</v>
      </c>
    </row>
    <row r="101" spans="1:3" x14ac:dyDescent="0.3">
      <c r="A101" s="6" t="s">
        <v>279</v>
      </c>
      <c r="B101" s="18">
        <v>30000</v>
      </c>
      <c r="C101" s="2" t="s">
        <v>280</v>
      </c>
    </row>
    <row r="102" spans="1:3" x14ac:dyDescent="0.3">
      <c r="A102" s="6" t="s">
        <v>281</v>
      </c>
      <c r="B102" s="19">
        <v>0.25</v>
      </c>
      <c r="C102" s="2" t="s">
        <v>282</v>
      </c>
    </row>
    <row r="103" spans="1:3" x14ac:dyDescent="0.3">
      <c r="A103" s="6" t="s">
        <v>283</v>
      </c>
      <c r="B103" s="18">
        <f>B80</f>
        <v>1000</v>
      </c>
      <c r="C103" s="2" t="s">
        <v>284</v>
      </c>
    </row>
    <row r="104" spans="1:3" x14ac:dyDescent="0.3">
      <c r="A104" s="6" t="s">
        <v>285</v>
      </c>
      <c r="B104" s="18">
        <v>29000</v>
      </c>
      <c r="C104" s="2" t="s">
        <v>286</v>
      </c>
    </row>
    <row r="105" spans="1:3" x14ac:dyDescent="0.3">
      <c r="A105" s="6" t="s">
        <v>287</v>
      </c>
      <c r="B105" s="18">
        <v>48000</v>
      </c>
      <c r="C105" s="2" t="s">
        <v>288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style="35" customWidth="1"/>
    <col min="2" max="2" width="16" style="35" customWidth="1"/>
    <col min="3" max="3" width="30" style="35" customWidth="1"/>
    <col min="4" max="4" width="62" style="35" customWidth="1"/>
    <col min="5" max="7" width="16" style="35" customWidth="1"/>
  </cols>
  <sheetData>
    <row r="1" spans="1:7" ht="17.399999999999999" customHeight="1" x14ac:dyDescent="0.3">
      <c r="A1" s="1" t="s">
        <v>289</v>
      </c>
    </row>
    <row r="2" spans="1:7" x14ac:dyDescent="0.3">
      <c r="A2" s="2" t="s">
        <v>290</v>
      </c>
    </row>
    <row r="4" spans="1:7" ht="30" customHeight="1" x14ac:dyDescent="0.3">
      <c r="A4" s="27" t="s">
        <v>291</v>
      </c>
      <c r="B4" s="21" t="s">
        <v>292</v>
      </c>
      <c r="C4" s="21" t="s">
        <v>293</v>
      </c>
      <c r="D4" s="21" t="s">
        <v>294</v>
      </c>
      <c r="E4" s="21" t="s">
        <v>295</v>
      </c>
      <c r="F4" s="21" t="s">
        <v>296</v>
      </c>
      <c r="G4" s="21" t="s">
        <v>297</v>
      </c>
    </row>
    <row r="5" spans="1:7" x14ac:dyDescent="0.3">
      <c r="A5" s="6" t="s">
        <v>158</v>
      </c>
      <c r="B5" s="22">
        <f>Hypothèses!B22</f>
        <v>1500000</v>
      </c>
      <c r="C5" s="6" t="s">
        <v>298</v>
      </c>
      <c r="D5" s="6" t="s">
        <v>299</v>
      </c>
      <c r="E5" s="22">
        <f>B5</f>
        <v>1500000</v>
      </c>
      <c r="F5" s="22">
        <v>0</v>
      </c>
      <c r="G5" s="22">
        <v>0</v>
      </c>
    </row>
    <row r="6" spans="1:7" x14ac:dyDescent="0.3">
      <c r="A6" s="6" t="s">
        <v>160</v>
      </c>
      <c r="B6" s="22">
        <f>Hypothèses!B23</f>
        <v>300000</v>
      </c>
      <c r="C6" s="6" t="s">
        <v>300</v>
      </c>
      <c r="D6" s="6" t="s">
        <v>301</v>
      </c>
      <c r="E6" s="22">
        <f>B6</f>
        <v>300000</v>
      </c>
      <c r="F6" s="22">
        <v>0</v>
      </c>
      <c r="G6" s="22">
        <v>0</v>
      </c>
    </row>
    <row r="7" spans="1:7" x14ac:dyDescent="0.3">
      <c r="A7" s="6" t="s">
        <v>161</v>
      </c>
      <c r="B7" s="22">
        <f>Hypothèses!B24</f>
        <v>100000</v>
      </c>
      <c r="C7" s="6" t="s">
        <v>302</v>
      </c>
      <c r="D7" s="6" t="s">
        <v>299</v>
      </c>
      <c r="E7" s="22">
        <f>B7</f>
        <v>100000</v>
      </c>
      <c r="F7" s="22">
        <v>0</v>
      </c>
      <c r="G7" s="22">
        <v>0</v>
      </c>
    </row>
    <row r="8" spans="1:7" x14ac:dyDescent="0.3">
      <c r="A8" s="6" t="s">
        <v>162</v>
      </c>
      <c r="B8" s="22">
        <f>Hypothèses!B25</f>
        <v>500000</v>
      </c>
      <c r="C8" s="6" t="s">
        <v>303</v>
      </c>
      <c r="D8" s="6" t="s">
        <v>304</v>
      </c>
      <c r="E8" s="22">
        <v>0</v>
      </c>
      <c r="F8" s="22">
        <f>B8</f>
        <v>500000</v>
      </c>
      <c r="G8" s="22">
        <v>0</v>
      </c>
    </row>
    <row r="9" spans="1:7" x14ac:dyDescent="0.3">
      <c r="A9" s="6" t="s">
        <v>163</v>
      </c>
      <c r="B9" s="22">
        <f>Hypothèses!B26</f>
        <v>1000000</v>
      </c>
      <c r="C9" s="6" t="s">
        <v>305</v>
      </c>
      <c r="D9" s="6" t="s">
        <v>306</v>
      </c>
      <c r="E9" s="22">
        <v>0</v>
      </c>
      <c r="F9" s="22">
        <f>B9</f>
        <v>1000000</v>
      </c>
      <c r="G9" s="22">
        <f>B9/Hypothèses!$B$87*12</f>
        <v>333333.33333333331</v>
      </c>
    </row>
    <row r="10" spans="1:7" x14ac:dyDescent="0.3">
      <c r="A10" s="6" t="s">
        <v>164</v>
      </c>
      <c r="B10" s="22">
        <f>Hypothèses!B27</f>
        <v>1000000</v>
      </c>
      <c r="C10" s="6" t="s">
        <v>307</v>
      </c>
      <c r="D10" s="6" t="s">
        <v>299</v>
      </c>
      <c r="E10" s="22">
        <f>B10</f>
        <v>1000000</v>
      </c>
      <c r="F10" s="22">
        <v>0</v>
      </c>
      <c r="G10" s="22">
        <v>0</v>
      </c>
    </row>
    <row r="11" spans="1:7" x14ac:dyDescent="0.3">
      <c r="A11" s="6" t="s">
        <v>165</v>
      </c>
      <c r="B11" s="22">
        <f>Hypothèses!B28</f>
        <v>150000</v>
      </c>
      <c r="C11" s="6" t="s">
        <v>308</v>
      </c>
      <c r="D11" s="6" t="s">
        <v>299</v>
      </c>
      <c r="E11" s="22">
        <f>B11</f>
        <v>150000</v>
      </c>
      <c r="F11" s="22">
        <v>0</v>
      </c>
      <c r="G11" s="22">
        <v>0</v>
      </c>
    </row>
    <row r="12" spans="1:7" x14ac:dyDescent="0.3">
      <c r="A12" s="10" t="s">
        <v>309</v>
      </c>
      <c r="B12" s="24">
        <f>SUM(B5:B11)</f>
        <v>4550000</v>
      </c>
      <c r="C12" s="10"/>
      <c r="D12" s="10"/>
      <c r="E12" s="24">
        <f>SUM(E5:E11)</f>
        <v>3050000</v>
      </c>
      <c r="F12" s="24">
        <f>SUM(F5:F11)</f>
        <v>1500000</v>
      </c>
      <c r="G12" s="24">
        <f>SUM(G5:G11)</f>
        <v>333333.33333333331</v>
      </c>
    </row>
    <row r="14" spans="1:7" x14ac:dyDescent="0.3">
      <c r="A14" s="4" t="s">
        <v>310</v>
      </c>
      <c r="B14" s="4"/>
      <c r="C14" s="4"/>
      <c r="D14" s="4"/>
      <c r="E14" s="4"/>
      <c r="F14" s="4"/>
      <c r="G14" s="4"/>
    </row>
    <row r="15" spans="1:7" x14ac:dyDescent="0.3">
      <c r="A15" s="6" t="s">
        <v>202</v>
      </c>
      <c r="B15" s="22">
        <f>Hypothèses!B54</f>
        <v>15000000</v>
      </c>
    </row>
    <row r="16" spans="1:7" x14ac:dyDescent="0.3">
      <c r="A16" s="6" t="s">
        <v>311</v>
      </c>
      <c r="B16" s="22">
        <f>-B12</f>
        <v>-4550000</v>
      </c>
    </row>
    <row r="17" spans="1:7" x14ac:dyDescent="0.3">
      <c r="A17" s="6" t="s">
        <v>312</v>
      </c>
      <c r="B17" s="36">
        <f>B12/B15</f>
        <v>0.30333333333333334</v>
      </c>
    </row>
    <row r="18" spans="1:7" x14ac:dyDescent="0.3">
      <c r="A18" s="12" t="s">
        <v>313</v>
      </c>
      <c r="B18" s="25">
        <f>B15+B16</f>
        <v>10450000</v>
      </c>
    </row>
    <row r="20" spans="1:7" x14ac:dyDescent="0.3">
      <c r="A20" s="4" t="s">
        <v>314</v>
      </c>
      <c r="B20" s="4"/>
      <c r="C20" s="4"/>
      <c r="D20" s="4"/>
      <c r="E20" s="4"/>
      <c r="F20" s="4"/>
      <c r="G20" s="4"/>
    </row>
    <row r="21" spans="1:7" x14ac:dyDescent="0.3">
      <c r="A21" s="6" t="s">
        <v>315</v>
      </c>
      <c r="B21" s="22">
        <f>Mensuel!C42</f>
        <v>465000</v>
      </c>
    </row>
    <row r="22" spans="1:7" x14ac:dyDescent="0.3">
      <c r="A22" s="6" t="s">
        <v>316</v>
      </c>
      <c r="B22" s="22">
        <f>Mensuel!C43</f>
        <v>994583.33333333314</v>
      </c>
    </row>
    <row r="23" spans="1:7" x14ac:dyDescent="0.3">
      <c r="A23" s="6" t="s">
        <v>317</v>
      </c>
      <c r="B23" s="22">
        <f>Mensuel!C44</f>
        <v>2375000</v>
      </c>
    </row>
    <row r="24" spans="1:7" x14ac:dyDescent="0.3">
      <c r="A24" s="6" t="s">
        <v>318</v>
      </c>
      <c r="B24" s="22">
        <f>Mensuel!C48+Mensuel!C49</f>
        <v>325000</v>
      </c>
    </row>
    <row r="25" spans="1:7" x14ac:dyDescent="0.3">
      <c r="A25" s="6" t="s">
        <v>319</v>
      </c>
      <c r="B25" s="22">
        <f>Mensuel!C50+Mensuel!C51</f>
        <v>834000</v>
      </c>
    </row>
    <row r="26" spans="1:7" x14ac:dyDescent="0.3">
      <c r="A26" s="10" t="s">
        <v>320</v>
      </c>
      <c r="B26" s="24">
        <f>SUM(B21:B25)</f>
        <v>4993583.333333333</v>
      </c>
      <c r="C26" s="10"/>
      <c r="D26" s="10"/>
      <c r="E26" s="10"/>
      <c r="F26" s="10"/>
      <c r="G26" s="10"/>
    </row>
    <row r="28" spans="1:7" x14ac:dyDescent="0.3">
      <c r="A28" s="2" t="s">
        <v>321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style="35" customWidth="1"/>
    <col min="2" max="14" width="13" style="35" customWidth="1"/>
  </cols>
  <sheetData>
    <row r="1" spans="1:5" ht="17.399999999999999" customHeight="1" x14ac:dyDescent="0.3">
      <c r="A1" s="1" t="s">
        <v>322</v>
      </c>
    </row>
    <row r="2" spans="1:5" x14ac:dyDescent="0.3">
      <c r="A2" s="2" t="s">
        <v>323</v>
      </c>
    </row>
    <row r="4" spans="1:5" ht="30" customHeight="1" x14ac:dyDescent="0.3">
      <c r="A4" s="27" t="s">
        <v>8</v>
      </c>
      <c r="B4" s="21" t="s">
        <v>3</v>
      </c>
      <c r="C4" s="21" t="s">
        <v>4</v>
      </c>
      <c r="D4" s="21" t="s">
        <v>5</v>
      </c>
      <c r="E4" s="21" t="s">
        <v>6</v>
      </c>
    </row>
    <row r="5" spans="1:5" x14ac:dyDescent="0.3">
      <c r="A5" s="6" t="s">
        <v>25</v>
      </c>
      <c r="B5" s="22">
        <f>Mensuel!C58</f>
        <v>1345500</v>
      </c>
      <c r="C5" s="22">
        <f>Mensuel!D58</f>
        <v>1404000</v>
      </c>
      <c r="D5" s="22">
        <f>Mensuel!E58</f>
        <v>624000</v>
      </c>
      <c r="E5" s="22">
        <f>SUM(B5:D5)</f>
        <v>3373500</v>
      </c>
    </row>
    <row r="6" spans="1:5" x14ac:dyDescent="0.3">
      <c r="A6" s="6" t="s">
        <v>24</v>
      </c>
      <c r="B6" s="22">
        <f>Mensuel!C59</f>
        <v>3752450</v>
      </c>
      <c r="C6" s="22">
        <f>Mensuel!D59</f>
        <v>1825200</v>
      </c>
      <c r="D6" s="22">
        <f>Mensuel!E59</f>
        <v>1825200</v>
      </c>
      <c r="E6" s="22">
        <f>SUM(B6:D6)</f>
        <v>7402850</v>
      </c>
    </row>
    <row r="7" spans="1:5" x14ac:dyDescent="0.3">
      <c r="A7" s="6" t="s">
        <v>26</v>
      </c>
      <c r="B7" s="22">
        <f>Mensuel!C60</f>
        <v>5201625</v>
      </c>
      <c r="C7" s="22">
        <f>Mensuel!D60</f>
        <v>6809400</v>
      </c>
      <c r="D7" s="22">
        <f>Mensuel!E60</f>
        <v>6809400</v>
      </c>
      <c r="E7" s="22">
        <f>SUM(B7:D7)</f>
        <v>18820425</v>
      </c>
    </row>
    <row r="8" spans="1:5" x14ac:dyDescent="0.3">
      <c r="A8" s="6" t="s">
        <v>27</v>
      </c>
      <c r="B8" s="22">
        <f>Mensuel!C61</f>
        <v>3962400</v>
      </c>
      <c r="C8" s="22">
        <f>Mensuel!D61</f>
        <v>5943600</v>
      </c>
      <c r="D8" s="22">
        <f>Mensuel!E61</f>
        <v>5943600</v>
      </c>
      <c r="E8" s="22">
        <f>SUM(B8:D8)</f>
        <v>15849600</v>
      </c>
    </row>
    <row r="9" spans="1:5" x14ac:dyDescent="0.3">
      <c r="A9" s="10" t="s">
        <v>324</v>
      </c>
      <c r="B9" s="24">
        <f>SUM(B5:B8)</f>
        <v>14261975</v>
      </c>
      <c r="C9" s="24">
        <f>SUM(C5:C8)</f>
        <v>15982200</v>
      </c>
      <c r="D9" s="24">
        <f>SUM(D5:D8)</f>
        <v>15202200</v>
      </c>
      <c r="E9" s="24">
        <f>SUM(E5:E8)</f>
        <v>45446375</v>
      </c>
    </row>
    <row r="10" spans="1:5" x14ac:dyDescent="0.3">
      <c r="A10" s="6" t="s">
        <v>325</v>
      </c>
      <c r="C10" s="36">
        <f>IF(B9=0,0,C9/B9-1)</f>
        <v>0.12061618394366835</v>
      </c>
      <c r="D10" s="36">
        <f>IF(C9=0,0,D9/C9-1)</f>
        <v>-4.880429477794046E-2</v>
      </c>
    </row>
    <row r="11" spans="1:5" x14ac:dyDescent="0.3">
      <c r="A11" s="6" t="s">
        <v>326</v>
      </c>
      <c r="B11" s="22">
        <f>B9/12</f>
        <v>1188497.9166666667</v>
      </c>
      <c r="C11" s="22">
        <f>C9/12</f>
        <v>1331850</v>
      </c>
      <c r="D11" s="22">
        <f>D9/12</f>
        <v>1266850</v>
      </c>
    </row>
    <row r="13" spans="1:5" x14ac:dyDescent="0.3">
      <c r="A13" s="4" t="s">
        <v>327</v>
      </c>
      <c r="B13" s="4"/>
      <c r="C13" s="4"/>
      <c r="D13" s="4"/>
      <c r="E13" s="4"/>
    </row>
    <row r="14" spans="1:5" ht="30" customHeight="1" x14ac:dyDescent="0.3">
      <c r="A14" s="27" t="s">
        <v>328</v>
      </c>
      <c r="B14" s="21" t="s">
        <v>3</v>
      </c>
      <c r="C14" s="21" t="s">
        <v>4</v>
      </c>
      <c r="D14" s="21" t="s">
        <v>5</v>
      </c>
      <c r="E14" s="21" t="s">
        <v>6</v>
      </c>
    </row>
    <row r="15" spans="1:5" x14ac:dyDescent="0.3">
      <c r="A15" s="6" t="s">
        <v>25</v>
      </c>
      <c r="B15" s="22">
        <f>Mensuel!C80</f>
        <v>2990000</v>
      </c>
      <c r="C15" s="22">
        <f>Mensuel!D80</f>
        <v>3120000</v>
      </c>
      <c r="D15" s="22">
        <f>Mensuel!E80</f>
        <v>3120000</v>
      </c>
      <c r="E15" s="22">
        <f>SUM(B15:D15)</f>
        <v>9230000</v>
      </c>
    </row>
    <row r="16" spans="1:5" x14ac:dyDescent="0.3">
      <c r="A16" s="6" t="s">
        <v>24</v>
      </c>
      <c r="B16" s="22">
        <f>Mensuel!C81</f>
        <v>8745750</v>
      </c>
      <c r="C16" s="22">
        <f>Mensuel!D81</f>
        <v>9126000</v>
      </c>
      <c r="D16" s="22">
        <f>Mensuel!E81</f>
        <v>9126000</v>
      </c>
      <c r="E16" s="22">
        <f>SUM(B16:D16)</f>
        <v>26997750</v>
      </c>
    </row>
    <row r="17" spans="1:14" x14ac:dyDescent="0.3">
      <c r="A17" s="6" t="s">
        <v>26</v>
      </c>
      <c r="B17" s="22">
        <f>Mensuel!C82</f>
        <v>29386500</v>
      </c>
      <c r="C17" s="22">
        <f>Mensuel!D82</f>
        <v>38469600</v>
      </c>
      <c r="D17" s="22">
        <f>Mensuel!E82</f>
        <v>38469600</v>
      </c>
      <c r="E17" s="22">
        <f>SUM(B17:D17)</f>
        <v>106325700</v>
      </c>
    </row>
    <row r="18" spans="1:14" x14ac:dyDescent="0.3">
      <c r="A18" s="6" t="s">
        <v>27</v>
      </c>
      <c r="B18" s="22">
        <f>Mensuel!C83</f>
        <v>20841600</v>
      </c>
      <c r="C18" s="22">
        <f>Mensuel!D83</f>
        <v>31262400</v>
      </c>
      <c r="D18" s="22">
        <f>Mensuel!E83</f>
        <v>31262400</v>
      </c>
      <c r="E18" s="22">
        <f>SUM(B18:D18)</f>
        <v>83366400</v>
      </c>
    </row>
    <row r="19" spans="1:14" x14ac:dyDescent="0.3">
      <c r="A19" s="10" t="s">
        <v>329</v>
      </c>
      <c r="B19" s="24">
        <f>SUM(B15:B18)</f>
        <v>61963850</v>
      </c>
      <c r="C19" s="24">
        <f>SUM(C15:C18)</f>
        <v>81978000</v>
      </c>
      <c r="D19" s="24">
        <f>SUM(D15:D18)</f>
        <v>81978000</v>
      </c>
      <c r="E19" s="24">
        <f>SUM(E15:E18)</f>
        <v>225919850</v>
      </c>
    </row>
    <row r="20" spans="1:14" x14ac:dyDescent="0.3">
      <c r="A20" s="6" t="s">
        <v>330</v>
      </c>
      <c r="B20" s="36">
        <f>IF(B19=0,0,B9/B19)</f>
        <v>0.23016605649907163</v>
      </c>
      <c r="C20" s="36">
        <f>IF(C19=0,0,C9/C19)</f>
        <v>0.19495718363463369</v>
      </c>
      <c r="D20" s="36">
        <f>IF(D19=0,0,D9/D19)</f>
        <v>0.18544243577545194</v>
      </c>
      <c r="E20" s="36">
        <f>IF(E19=0,0,E9/E19)</f>
        <v>0.20116149599072414</v>
      </c>
    </row>
    <row r="21" spans="1:14" x14ac:dyDescent="0.3">
      <c r="A21" s="6" t="s">
        <v>331</v>
      </c>
      <c r="B21" s="36">
        <f>IF(B9=0,0,(B7+B8)/B9)</f>
        <v>0.64254950664266341</v>
      </c>
      <c r="C21" s="36">
        <f>IF(C9=0,0,(C7+C8)/C9)</f>
        <v>0.79795021961932655</v>
      </c>
      <c r="D21" s="36">
        <f>IF(D9=0,0,(D7+D8)/D9)</f>
        <v>0.83889173935351458</v>
      </c>
      <c r="E21" s="36">
        <f>IF(E9=0,0,(E7+E8)/E9)</f>
        <v>0.7628776772624879</v>
      </c>
    </row>
    <row r="23" spans="1:14" x14ac:dyDescent="0.3">
      <c r="A23" s="4" t="s">
        <v>332</v>
      </c>
      <c r="B23" s="4"/>
      <c r="C23" s="4"/>
      <c r="D23" s="4"/>
      <c r="E23" s="4"/>
    </row>
    <row r="24" spans="1:14" x14ac:dyDescent="0.3">
      <c r="A24" s="6" t="s">
        <v>333</v>
      </c>
      <c r="B24" s="22">
        <f>Hypothèses!B45</f>
        <v>10000</v>
      </c>
    </row>
    <row r="25" spans="1:14" x14ac:dyDescent="0.3">
      <c r="A25" s="6" t="s">
        <v>334</v>
      </c>
      <c r="B25" s="22">
        <f>Hypothèses!B46</f>
        <v>5850</v>
      </c>
    </row>
    <row r="26" spans="1:14" x14ac:dyDescent="0.3">
      <c r="A26" s="6" t="s">
        <v>335</v>
      </c>
      <c r="B26" s="22">
        <f>Hypothèses!B75</f>
        <v>3500</v>
      </c>
    </row>
    <row r="27" spans="1:14" x14ac:dyDescent="0.3">
      <c r="A27" s="6" t="s">
        <v>336</v>
      </c>
      <c r="B27" s="22">
        <f>Hypothèses!B60</f>
        <v>13700</v>
      </c>
    </row>
    <row r="28" spans="1:14" x14ac:dyDescent="0.3">
      <c r="A28" s="6" t="s">
        <v>337</v>
      </c>
      <c r="B28" s="22">
        <f>Hypothèses!B61</f>
        <v>16700</v>
      </c>
    </row>
    <row r="29" spans="1:14" x14ac:dyDescent="0.3">
      <c r="A29" s="6" t="s">
        <v>191</v>
      </c>
      <c r="B29" s="22">
        <f>Hypothèses!B47</f>
        <v>26</v>
      </c>
    </row>
    <row r="31" spans="1:14" x14ac:dyDescent="0.3">
      <c r="A31" s="4" t="s">
        <v>338</v>
      </c>
      <c r="B31" s="4"/>
      <c r="C31" s="4"/>
      <c r="D31" s="4"/>
      <c r="E31" s="4"/>
      <c r="F31" s="4"/>
      <c r="G31" s="4"/>
      <c r="H31" s="4"/>
      <c r="I31" s="4"/>
      <c r="J31" s="4"/>
      <c r="K31" s="4"/>
      <c r="L31" s="4"/>
      <c r="M31" s="4"/>
      <c r="N31" s="4"/>
    </row>
    <row r="32" spans="1:14" ht="30" customHeight="1" x14ac:dyDescent="0.3">
      <c r="A32" s="27" t="s">
        <v>339</v>
      </c>
      <c r="B32" s="21" t="s">
        <v>340</v>
      </c>
      <c r="C32" s="21" t="s">
        <v>341</v>
      </c>
      <c r="D32" s="21" t="s">
        <v>342</v>
      </c>
      <c r="E32" s="21" t="s">
        <v>343</v>
      </c>
      <c r="F32" s="21" t="s">
        <v>344</v>
      </c>
      <c r="G32" s="21" t="s">
        <v>345</v>
      </c>
      <c r="H32" s="21" t="s">
        <v>346</v>
      </c>
      <c r="I32" s="21" t="s">
        <v>347</v>
      </c>
      <c r="J32" s="21" t="s">
        <v>348</v>
      </c>
      <c r="K32" s="21" t="s">
        <v>349</v>
      </c>
      <c r="L32" s="21" t="s">
        <v>350</v>
      </c>
      <c r="M32" s="21" t="s">
        <v>351</v>
      </c>
      <c r="N32" s="21" t="s">
        <v>3</v>
      </c>
    </row>
    <row r="33" spans="1:14" x14ac:dyDescent="0.3">
      <c r="A33" s="6" t="s">
        <v>25</v>
      </c>
      <c r="B33" s="22">
        <f>Mensuel!H58</f>
        <v>58500</v>
      </c>
      <c r="C33" s="22">
        <f>Mensuel!I58</f>
        <v>117000</v>
      </c>
      <c r="D33" s="22">
        <f>Mensuel!J58</f>
        <v>117000</v>
      </c>
      <c r="E33" s="22">
        <f>Mensuel!K58</f>
        <v>117000</v>
      </c>
      <c r="F33" s="22">
        <f>Mensuel!L58</f>
        <v>117000</v>
      </c>
      <c r="G33" s="22">
        <f>Mensuel!M58</f>
        <v>117000</v>
      </c>
      <c r="H33" s="22">
        <f>Mensuel!N58</f>
        <v>117000</v>
      </c>
      <c r="I33" s="22">
        <f>Mensuel!O58</f>
        <v>117000</v>
      </c>
      <c r="J33" s="22">
        <f>Mensuel!P58</f>
        <v>117000</v>
      </c>
      <c r="K33" s="22">
        <f>Mensuel!Q58</f>
        <v>117000</v>
      </c>
      <c r="L33" s="22">
        <f>Mensuel!R58</f>
        <v>117000</v>
      </c>
      <c r="M33" s="22">
        <f>Mensuel!S58</f>
        <v>117000</v>
      </c>
      <c r="N33" s="22">
        <f>SUM(B33:M33)</f>
        <v>1345500</v>
      </c>
    </row>
    <row r="34" spans="1:14" x14ac:dyDescent="0.3">
      <c r="A34" s="6" t="s">
        <v>24</v>
      </c>
      <c r="B34" s="22">
        <f>Mensuel!H59</f>
        <v>163150</v>
      </c>
      <c r="C34" s="22">
        <f>Mensuel!I59</f>
        <v>326300</v>
      </c>
      <c r="D34" s="22">
        <f>Mensuel!J59</f>
        <v>326300</v>
      </c>
      <c r="E34" s="22">
        <f>Mensuel!K59</f>
        <v>326300</v>
      </c>
      <c r="F34" s="22">
        <f>Mensuel!L59</f>
        <v>326300</v>
      </c>
      <c r="G34" s="22">
        <f>Mensuel!M59</f>
        <v>326300</v>
      </c>
      <c r="H34" s="22">
        <f>Mensuel!N59</f>
        <v>326300</v>
      </c>
      <c r="I34" s="22">
        <f>Mensuel!O59</f>
        <v>326300</v>
      </c>
      <c r="J34" s="22">
        <f>Mensuel!P59</f>
        <v>326300</v>
      </c>
      <c r="K34" s="22">
        <f>Mensuel!Q59</f>
        <v>326300</v>
      </c>
      <c r="L34" s="22">
        <f>Mensuel!R59</f>
        <v>326300</v>
      </c>
      <c r="M34" s="22">
        <f>Mensuel!S59</f>
        <v>326300</v>
      </c>
      <c r="N34" s="22">
        <f>SUM(B34:M34)</f>
        <v>3752450</v>
      </c>
    </row>
    <row r="35" spans="1:14" x14ac:dyDescent="0.3">
      <c r="A35" s="6" t="s">
        <v>26</v>
      </c>
      <c r="B35" s="22">
        <f>Mensuel!H60</f>
        <v>189150</v>
      </c>
      <c r="C35" s="22">
        <f>Mensuel!I60</f>
        <v>378300</v>
      </c>
      <c r="D35" s="22">
        <f>Mensuel!J60</f>
        <v>378300</v>
      </c>
      <c r="E35" s="22">
        <f>Mensuel!K60</f>
        <v>378300</v>
      </c>
      <c r="F35" s="22">
        <f>Mensuel!L60</f>
        <v>409825</v>
      </c>
      <c r="G35" s="22">
        <f>Mensuel!M60</f>
        <v>441350</v>
      </c>
      <c r="H35" s="22">
        <f>Mensuel!N60</f>
        <v>441350</v>
      </c>
      <c r="I35" s="22">
        <f>Mensuel!O60</f>
        <v>472875</v>
      </c>
      <c r="J35" s="22">
        <f>Mensuel!P60</f>
        <v>504400</v>
      </c>
      <c r="K35" s="22">
        <f>Mensuel!Q60</f>
        <v>504400</v>
      </c>
      <c r="L35" s="22">
        <f>Mensuel!R60</f>
        <v>535925</v>
      </c>
      <c r="M35" s="22">
        <f>Mensuel!S60</f>
        <v>567450</v>
      </c>
      <c r="N35" s="22">
        <f>SUM(B35:M35)</f>
        <v>5201625</v>
      </c>
    </row>
    <row r="36" spans="1:14" x14ac:dyDescent="0.3">
      <c r="A36" s="6" t="s">
        <v>27</v>
      </c>
      <c r="B36" s="22">
        <f>Mensuel!H61</f>
        <v>123825</v>
      </c>
      <c r="C36" s="22">
        <f>Mensuel!I61</f>
        <v>247650</v>
      </c>
      <c r="D36" s="22">
        <f>Mensuel!J61</f>
        <v>247650</v>
      </c>
      <c r="E36" s="22">
        <f>Mensuel!K61</f>
        <v>247650</v>
      </c>
      <c r="F36" s="22">
        <f>Mensuel!L61</f>
        <v>288925</v>
      </c>
      <c r="G36" s="22">
        <f>Mensuel!M61</f>
        <v>330200</v>
      </c>
      <c r="H36" s="22">
        <f>Mensuel!N61</f>
        <v>330200</v>
      </c>
      <c r="I36" s="22">
        <f>Mensuel!O61</f>
        <v>371475</v>
      </c>
      <c r="J36" s="22">
        <f>Mensuel!P61</f>
        <v>412750</v>
      </c>
      <c r="K36" s="22">
        <f>Mensuel!Q61</f>
        <v>412750</v>
      </c>
      <c r="L36" s="22">
        <f>Mensuel!R61</f>
        <v>454025</v>
      </c>
      <c r="M36" s="22">
        <f>Mensuel!S61</f>
        <v>495300</v>
      </c>
      <c r="N36" s="22">
        <f>SUM(B36:M36)</f>
        <v>3962400</v>
      </c>
    </row>
    <row r="37" spans="1:14" x14ac:dyDescent="0.3">
      <c r="A37" s="10" t="s">
        <v>352</v>
      </c>
      <c r="B37" s="24">
        <f t="shared" ref="B37:N37" si="0">SUM(B33:B36)</f>
        <v>534625</v>
      </c>
      <c r="C37" s="24">
        <f t="shared" si="0"/>
        <v>1069250</v>
      </c>
      <c r="D37" s="24">
        <f t="shared" si="0"/>
        <v>1069250</v>
      </c>
      <c r="E37" s="24">
        <f t="shared" si="0"/>
        <v>1069250</v>
      </c>
      <c r="F37" s="24">
        <f t="shared" si="0"/>
        <v>1142050</v>
      </c>
      <c r="G37" s="24">
        <f t="shared" si="0"/>
        <v>1214850</v>
      </c>
      <c r="H37" s="24">
        <f t="shared" si="0"/>
        <v>1214850</v>
      </c>
      <c r="I37" s="24">
        <f t="shared" si="0"/>
        <v>1287650</v>
      </c>
      <c r="J37" s="24">
        <f t="shared" si="0"/>
        <v>1360450</v>
      </c>
      <c r="K37" s="24">
        <f t="shared" si="0"/>
        <v>1360450</v>
      </c>
      <c r="L37" s="24">
        <f t="shared" si="0"/>
        <v>1433250</v>
      </c>
      <c r="M37" s="24">
        <f t="shared" si="0"/>
        <v>1506050</v>
      </c>
      <c r="N37" s="24">
        <f t="shared" si="0"/>
        <v>14261975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0" style="35" customWidth="1"/>
    <col min="2" max="2" width="18" style="35" customWidth="1"/>
    <col min="3" max="6" width="16" style="35" customWidth="1"/>
  </cols>
  <sheetData>
    <row r="1" spans="1:6" ht="17.399999999999999" customHeight="1" x14ac:dyDescent="0.3">
      <c r="A1" s="1" t="s">
        <v>353</v>
      </c>
    </row>
    <row r="2" spans="1:6" x14ac:dyDescent="0.3">
      <c r="A2" s="2" t="s">
        <v>354</v>
      </c>
    </row>
    <row r="4" spans="1:6" ht="30" customHeight="1" x14ac:dyDescent="0.3">
      <c r="A4" s="27" t="s">
        <v>291</v>
      </c>
      <c r="B4" s="21" t="s">
        <v>157</v>
      </c>
      <c r="C4" s="21" t="s">
        <v>3</v>
      </c>
      <c r="D4" s="21" t="s">
        <v>4</v>
      </c>
      <c r="E4" s="21" t="s">
        <v>5</v>
      </c>
      <c r="F4" s="21" t="s">
        <v>6</v>
      </c>
    </row>
    <row r="5" spans="1:6" x14ac:dyDescent="0.3">
      <c r="A5" s="4" t="s">
        <v>355</v>
      </c>
      <c r="B5" s="4"/>
      <c r="C5" s="4"/>
      <c r="D5" s="4"/>
      <c r="E5" s="4"/>
      <c r="F5" s="4"/>
    </row>
    <row r="6" spans="1:6" x14ac:dyDescent="0.3">
      <c r="A6" s="6" t="str">
        <f>Mensuel!A13</f>
        <v>Formalisation de la société</v>
      </c>
      <c r="B6" s="22">
        <f>Mensuel!B13</f>
        <v>1500000</v>
      </c>
      <c r="C6" s="22">
        <f>Mensuel!C13</f>
        <v>0</v>
      </c>
      <c r="D6" s="22">
        <f>Mensuel!D13</f>
        <v>0</v>
      </c>
      <c r="E6" s="22">
        <f>Mensuel!E13</f>
        <v>0</v>
      </c>
      <c r="F6" s="22">
        <f>Mensuel!F13</f>
        <v>1500000</v>
      </c>
    </row>
    <row r="7" spans="1:6" x14ac:dyDescent="0.3">
      <c r="A7" s="6" t="str">
        <f>Mensuel!A14</f>
        <v>ANATT (autorisation de transporteur)</v>
      </c>
      <c r="B7" s="22">
        <f>Mensuel!B14</f>
        <v>300000</v>
      </c>
      <c r="C7" s="22">
        <f>Mensuel!C14</f>
        <v>0</v>
      </c>
      <c r="D7" s="22">
        <f>Mensuel!D14</f>
        <v>0</v>
      </c>
      <c r="E7" s="22">
        <f>Mensuel!E14</f>
        <v>0</v>
      </c>
      <c r="F7" s="22">
        <f>Mensuel!F14</f>
        <v>300000</v>
      </c>
    </row>
    <row r="8" spans="1:6" x14ac:dyDescent="0.3">
      <c r="A8" s="6" t="str">
        <f>Mensuel!A15</f>
        <v>Juriste (contrats)</v>
      </c>
      <c r="B8" s="22">
        <f>Mensuel!B15</f>
        <v>100000</v>
      </c>
      <c r="C8" s="22">
        <f>Mensuel!C15</f>
        <v>0</v>
      </c>
      <c r="D8" s="22">
        <f>Mensuel!D15</f>
        <v>0</v>
      </c>
      <c r="E8" s="22">
        <f>Mensuel!E15</f>
        <v>0</v>
      </c>
      <c r="F8" s="22">
        <f>Mensuel!F15</f>
        <v>100000</v>
      </c>
    </row>
    <row r="9" spans="1:6" x14ac:dyDescent="0.3">
      <c r="A9" s="6" t="str">
        <f>Mensuel!A16</f>
        <v>Bureau de Cotonou (caution, aménagement)</v>
      </c>
      <c r="B9" s="22">
        <f>Mensuel!B16</f>
        <v>500000</v>
      </c>
      <c r="C9" s="22">
        <f>Mensuel!C16</f>
        <v>0</v>
      </c>
      <c r="D9" s="22">
        <f>Mensuel!D16</f>
        <v>0</v>
      </c>
      <c r="E9" s="22">
        <f>Mensuel!E16</f>
        <v>0</v>
      </c>
      <c r="F9" s="22">
        <f>Mensuel!F16</f>
        <v>500000</v>
      </c>
    </row>
    <row r="10" spans="1:6" x14ac:dyDescent="0.3">
      <c r="A10" s="6" t="str">
        <f>Mensuel!A17</f>
        <v>Matériel informatique et mobilier (2 bureaux)</v>
      </c>
      <c r="B10" s="22">
        <f>Mensuel!B17</f>
        <v>1000000</v>
      </c>
      <c r="C10" s="22">
        <f>Mensuel!C17</f>
        <v>0</v>
      </c>
      <c r="D10" s="22">
        <f>Mensuel!D17</f>
        <v>0</v>
      </c>
      <c r="E10" s="22">
        <f>Mensuel!E17</f>
        <v>0</v>
      </c>
      <c r="F10" s="22">
        <f>Mensuel!F17</f>
        <v>1000000</v>
      </c>
    </row>
    <row r="11" spans="1:6" x14ac:dyDescent="0.3">
      <c r="A11" s="6" t="str">
        <f>Mensuel!A18</f>
        <v>Marketing de lancement (photo, vidéo, sponsoring)</v>
      </c>
      <c r="B11" s="22">
        <f>Mensuel!B18</f>
        <v>1000000</v>
      </c>
      <c r="C11" s="22">
        <f>Mensuel!C18</f>
        <v>0</v>
      </c>
      <c r="D11" s="22">
        <f>Mensuel!D18</f>
        <v>0</v>
      </c>
      <c r="E11" s="22">
        <f>Mensuel!E18</f>
        <v>0</v>
      </c>
      <c r="F11" s="22">
        <f>Mensuel!F18</f>
        <v>1000000</v>
      </c>
    </row>
    <row r="12" spans="1:6" x14ac:dyDescent="0.3">
      <c r="A12" s="6" t="str">
        <f>Mensuel!A19</f>
        <v>Graphisme</v>
      </c>
      <c r="B12" s="22">
        <f>Mensuel!B19</f>
        <v>150000</v>
      </c>
      <c r="C12" s="22">
        <f>Mensuel!C19</f>
        <v>0</v>
      </c>
      <c r="D12" s="22">
        <f>Mensuel!D19</f>
        <v>0</v>
      </c>
      <c r="E12" s="22">
        <f>Mensuel!E19</f>
        <v>0</v>
      </c>
      <c r="F12" s="22">
        <f>Mensuel!F19</f>
        <v>150000</v>
      </c>
    </row>
    <row r="13" spans="1:6" x14ac:dyDescent="0.3">
      <c r="A13" s="10" t="s">
        <v>356</v>
      </c>
      <c r="B13" s="24">
        <f>Mensuel!B20</f>
        <v>4550000</v>
      </c>
      <c r="C13" s="24">
        <f>Mensuel!C20</f>
        <v>0</v>
      </c>
      <c r="D13" s="24">
        <f>Mensuel!D20</f>
        <v>0</v>
      </c>
      <c r="E13" s="24">
        <f>Mensuel!E20</f>
        <v>0</v>
      </c>
      <c r="F13" s="24">
        <f>Mensuel!F20</f>
        <v>4550000</v>
      </c>
    </row>
    <row r="15" spans="1:6" x14ac:dyDescent="0.3">
      <c r="A15" s="4" t="s">
        <v>357</v>
      </c>
      <c r="B15" s="4"/>
      <c r="C15" s="4"/>
      <c r="D15" s="4"/>
      <c r="E15" s="4"/>
      <c r="F15" s="4"/>
    </row>
    <row r="16" spans="1:6" x14ac:dyDescent="0.3">
      <c r="A16" s="6" t="str">
        <f>Mensuel!A23</f>
        <v>Secrétaire</v>
      </c>
      <c r="B16" s="22">
        <f>Mensuel!B23</f>
        <v>0</v>
      </c>
      <c r="C16" s="22">
        <f>Mensuel!C23</f>
        <v>1200000</v>
      </c>
      <c r="D16" s="22">
        <f>Mensuel!D23</f>
        <v>1200000</v>
      </c>
      <c r="E16" s="22">
        <f>Mensuel!E23</f>
        <v>1200000</v>
      </c>
      <c r="F16" s="22">
        <f>Mensuel!F23</f>
        <v>3600000</v>
      </c>
    </row>
    <row r="17" spans="1:6" x14ac:dyDescent="0.3">
      <c r="A17" s="6" t="str">
        <f>Mensuel!A24</f>
        <v>Infrastructure technique</v>
      </c>
      <c r="B17" s="22">
        <f>Mensuel!B24</f>
        <v>0</v>
      </c>
      <c r="C17" s="22">
        <f>Mensuel!C24</f>
        <v>900000</v>
      </c>
      <c r="D17" s="22">
        <f>Mensuel!D24</f>
        <v>900000</v>
      </c>
      <c r="E17" s="22">
        <f>Mensuel!E24</f>
        <v>900000</v>
      </c>
      <c r="F17" s="22">
        <f>Mensuel!F24</f>
        <v>2700000</v>
      </c>
    </row>
    <row r="18" spans="1:6" x14ac:dyDescent="0.3">
      <c r="A18" s="6" t="str">
        <f>Mensuel!A25</f>
        <v>Développeur (dès le mois indiqué dans les hypothèses)</v>
      </c>
      <c r="B18" s="22">
        <f>Mensuel!B25</f>
        <v>0</v>
      </c>
      <c r="C18" s="22">
        <f>Mensuel!C25</f>
        <v>0</v>
      </c>
      <c r="D18" s="22">
        <f>Mensuel!D25</f>
        <v>2400000</v>
      </c>
      <c r="E18" s="22">
        <f>Mensuel!E25</f>
        <v>2400000</v>
      </c>
      <c r="F18" s="22">
        <f>Mensuel!F25</f>
        <v>4800000</v>
      </c>
    </row>
    <row r="19" spans="1:6" x14ac:dyDescent="0.3">
      <c r="A19" s="6" t="str">
        <f>Mensuel!A26</f>
        <v>Outil de développement (Claude Code, mois 1 à 12)</v>
      </c>
      <c r="B19" s="22">
        <f>Mensuel!B26</f>
        <v>0</v>
      </c>
      <c r="C19" s="22">
        <f>Mensuel!C26</f>
        <v>900000</v>
      </c>
      <c r="D19" s="22">
        <f>Mensuel!D26</f>
        <v>0</v>
      </c>
      <c r="E19" s="22">
        <f>Mensuel!E26</f>
        <v>0</v>
      </c>
      <c r="F19" s="22">
        <f>Mensuel!F26</f>
        <v>900000</v>
      </c>
    </row>
    <row r="20" spans="1:6" x14ac:dyDescent="0.3">
      <c r="A20" s="6" t="str">
        <f>Mensuel!A27</f>
        <v>Électricité et eau</v>
      </c>
      <c r="B20" s="22">
        <f>Mensuel!B27</f>
        <v>0</v>
      </c>
      <c r="C20" s="22">
        <f>Mensuel!C27</f>
        <v>1200000</v>
      </c>
      <c r="D20" s="22">
        <f>Mensuel!D27</f>
        <v>1200000</v>
      </c>
      <c r="E20" s="22">
        <f>Mensuel!E27</f>
        <v>1200000</v>
      </c>
      <c r="F20" s="22">
        <f>Mensuel!F27</f>
        <v>3600000</v>
      </c>
    </row>
    <row r="21" spans="1:6" x14ac:dyDescent="0.3">
      <c r="A21" s="6" t="str">
        <f>Mensuel!A28</f>
        <v>Loyer du bureau de Cotonou</v>
      </c>
      <c r="B21" s="22">
        <f>Mensuel!B28</f>
        <v>0</v>
      </c>
      <c r="C21" s="22">
        <f>Mensuel!C28</f>
        <v>600000</v>
      </c>
      <c r="D21" s="22">
        <f>Mensuel!D28</f>
        <v>600000</v>
      </c>
      <c r="E21" s="22">
        <f>Mensuel!E28</f>
        <v>600000</v>
      </c>
      <c r="F21" s="22">
        <f>Mensuel!F28</f>
        <v>1800000</v>
      </c>
    </row>
    <row r="22" spans="1:6" x14ac:dyDescent="0.3">
      <c r="A22" s="6" t="str">
        <f>Mensuel!A29</f>
        <v>Assurance multirisque professionnelle</v>
      </c>
      <c r="B22" s="22">
        <f>Mensuel!B29</f>
        <v>0</v>
      </c>
      <c r="C22" s="22">
        <f>Mensuel!C29</f>
        <v>600000</v>
      </c>
      <c r="D22" s="22">
        <f>Mensuel!D29</f>
        <v>600000</v>
      </c>
      <c r="E22" s="22">
        <f>Mensuel!E29</f>
        <v>600000</v>
      </c>
      <c r="F22" s="22">
        <f>Mensuel!F29</f>
        <v>1800000</v>
      </c>
    </row>
    <row r="23" spans="1:6" x14ac:dyDescent="0.3">
      <c r="A23" s="6" t="str">
        <f>Mensuel!A30</f>
        <v>Comptable (par trimestre)</v>
      </c>
      <c r="B23" s="22">
        <f>Mensuel!B30</f>
        <v>0</v>
      </c>
      <c r="C23" s="22">
        <f>Mensuel!C30</f>
        <v>300000</v>
      </c>
      <c r="D23" s="22">
        <f>Mensuel!D30</f>
        <v>300000</v>
      </c>
      <c r="E23" s="22">
        <f>Mensuel!E30</f>
        <v>300000</v>
      </c>
      <c r="F23" s="22">
        <f>Mensuel!F30</f>
        <v>900000</v>
      </c>
    </row>
    <row r="24" spans="1:6" x14ac:dyDescent="0.3">
      <c r="A24" s="6" t="str">
        <f>Mensuel!A31</f>
        <v>Juriste (par trimestre)</v>
      </c>
      <c r="B24" s="22">
        <f>Mensuel!B31</f>
        <v>0</v>
      </c>
      <c r="C24" s="22">
        <f>Mensuel!C31</f>
        <v>200000</v>
      </c>
      <c r="D24" s="22">
        <f>Mensuel!D31</f>
        <v>200000</v>
      </c>
      <c r="E24" s="22">
        <f>Mensuel!E31</f>
        <v>200000</v>
      </c>
      <c r="F24" s="22">
        <f>Mensuel!F31</f>
        <v>600000</v>
      </c>
    </row>
    <row r="25" spans="1:6" x14ac:dyDescent="0.3">
      <c r="A25" s="6" t="str">
        <f>Mensuel!A32</f>
        <v>Promotion de lancement</v>
      </c>
      <c r="B25" s="22">
        <f>Mensuel!B32</f>
        <v>0</v>
      </c>
      <c r="C25" s="22">
        <f>Mensuel!C32</f>
        <v>600000</v>
      </c>
      <c r="D25" s="22">
        <f>Mensuel!D32</f>
        <v>0</v>
      </c>
      <c r="E25" s="22">
        <f>Mensuel!E32</f>
        <v>0</v>
      </c>
      <c r="F25" s="22">
        <f>Mensuel!F32</f>
        <v>600000</v>
      </c>
    </row>
    <row r="26" spans="1:6" x14ac:dyDescent="0.3">
      <c r="A26" s="6" t="str">
        <f>Mensuel!A33</f>
        <v>Responsable des opérations (3 % du volume, plafonné)</v>
      </c>
      <c r="B26" s="22">
        <f>Mensuel!B33</f>
        <v>0</v>
      </c>
      <c r="C26" s="22">
        <f>Mensuel!C33</f>
        <v>1735236</v>
      </c>
      <c r="D26" s="22">
        <f>Mensuel!D33</f>
        <v>1800000</v>
      </c>
      <c r="E26" s="22">
        <f>Mensuel!E33</f>
        <v>1800000</v>
      </c>
      <c r="F26" s="22">
        <f>Mensuel!F33</f>
        <v>5335236</v>
      </c>
    </row>
    <row r="27" spans="1:6" x14ac:dyDescent="0.3">
      <c r="A27" s="6" t="str">
        <f>Mensuel!A34</f>
        <v>Renouvellement ANATT (mois 13 et 25)</v>
      </c>
      <c r="B27" s="22">
        <f>Mensuel!B34</f>
        <v>0</v>
      </c>
      <c r="C27" s="22">
        <f>Mensuel!C34</f>
        <v>0</v>
      </c>
      <c r="D27" s="22">
        <f>Mensuel!D34</f>
        <v>280000</v>
      </c>
      <c r="E27" s="22">
        <f>Mensuel!E34</f>
        <v>280000</v>
      </c>
      <c r="F27" s="22">
        <f>Mensuel!F34</f>
        <v>560000</v>
      </c>
    </row>
    <row r="28" spans="1:6" x14ac:dyDescent="0.3">
      <c r="A28" s="6" t="str">
        <f>Mensuel!A35</f>
        <v>Impôt minimum sur les sociétés (mois 16 et 28)</v>
      </c>
      <c r="B28" s="22">
        <f>Mensuel!B35</f>
        <v>0</v>
      </c>
      <c r="C28" s="22">
        <f>Mensuel!C35</f>
        <v>0</v>
      </c>
      <c r="D28" s="22">
        <f>Mensuel!D35</f>
        <v>254000</v>
      </c>
      <c r="E28" s="22">
        <f>Mensuel!E35</f>
        <v>254000</v>
      </c>
      <c r="F28" s="22">
        <f>Mensuel!F35</f>
        <v>508000</v>
      </c>
    </row>
    <row r="29" spans="1:6" x14ac:dyDescent="0.3">
      <c r="A29" s="6" t="str">
        <f>Mensuel!A36</f>
        <v>Patente (mois 13 et 25)</v>
      </c>
      <c r="B29" s="22">
        <f>Mensuel!B36</f>
        <v>0</v>
      </c>
      <c r="C29" s="22">
        <f>Mensuel!C36</f>
        <v>0</v>
      </c>
      <c r="D29" s="22">
        <f>Mensuel!D36</f>
        <v>172000</v>
      </c>
      <c r="E29" s="22">
        <f>Mensuel!E36</f>
        <v>172000</v>
      </c>
      <c r="F29" s="22">
        <f>Mensuel!F36</f>
        <v>344000</v>
      </c>
    </row>
    <row r="30" spans="1:6" x14ac:dyDescent="0.3">
      <c r="A30" s="6" t="str">
        <f>Mensuel!A37</f>
        <v>Frais d'entrée des véhicules déployés (inspection, habillage, kit : 30 000 F par véhicule)</v>
      </c>
      <c r="B30" s="22">
        <f>Mensuel!B37</f>
        <v>0</v>
      </c>
      <c r="C30" s="22">
        <f>Mensuel!C37</f>
        <v>630000</v>
      </c>
      <c r="D30" s="22">
        <f>Mensuel!D37</f>
        <v>0</v>
      </c>
      <c r="E30" s="22">
        <f>Mensuel!E37</f>
        <v>0</v>
      </c>
      <c r="F30" s="22">
        <f>Mensuel!F37</f>
        <v>630000</v>
      </c>
    </row>
    <row r="31" spans="1:6" x14ac:dyDescent="0.3">
      <c r="A31" s="6" t="str">
        <f>Mensuel!A38</f>
        <v>Épargne NSIA (TamAssur) : postes vacants et manque au rachat à l'ouverture du premier palier</v>
      </c>
      <c r="B31" s="22">
        <f>Mensuel!B38</f>
        <v>0</v>
      </c>
      <c r="C31" s="22">
        <f>Mensuel!C38</f>
        <v>91875</v>
      </c>
      <c r="D31" s="22">
        <f>Mensuel!D38</f>
        <v>255250</v>
      </c>
      <c r="E31" s="22">
        <f>Mensuel!E38</f>
        <v>878250</v>
      </c>
      <c r="F31" s="22">
        <f>Mensuel!F38</f>
        <v>1225375</v>
      </c>
    </row>
    <row r="32" spans="1:6" x14ac:dyDescent="0.3">
      <c r="A32" s="10" t="s">
        <v>358</v>
      </c>
      <c r="B32" s="24">
        <f>Mensuel!B39</f>
        <v>0</v>
      </c>
      <c r="C32" s="24">
        <f>Mensuel!C39</f>
        <v>8957111</v>
      </c>
      <c r="D32" s="24">
        <f>Mensuel!D39</f>
        <v>10161250</v>
      </c>
      <c r="E32" s="24">
        <f>Mensuel!E39</f>
        <v>10784250</v>
      </c>
      <c r="F32" s="24">
        <f>Mensuel!F39</f>
        <v>29902611</v>
      </c>
    </row>
    <row r="34" spans="1:6" x14ac:dyDescent="0.3">
      <c r="A34" s="4" t="s">
        <v>359</v>
      </c>
      <c r="B34" s="4"/>
      <c r="C34" s="4"/>
      <c r="D34" s="4"/>
      <c r="E34" s="4"/>
      <c r="F34" s="4"/>
    </row>
    <row r="35" spans="1:6" x14ac:dyDescent="0.3">
      <c r="A35" s="6" t="str">
        <f>Mensuel!A42</f>
        <v>Tricycles : acompte à l'achat</v>
      </c>
      <c r="B35" s="22">
        <f>Mensuel!B42</f>
        <v>0</v>
      </c>
      <c r="C35" s="22">
        <f>Mensuel!C42</f>
        <v>465000</v>
      </c>
      <c r="D35" s="22">
        <f>Mensuel!D42</f>
        <v>0</v>
      </c>
      <c r="E35" s="22">
        <f>Mensuel!E42</f>
        <v>0</v>
      </c>
      <c r="F35" s="22">
        <f>Mensuel!F42</f>
        <v>465000</v>
      </c>
    </row>
    <row r="36" spans="1:6" x14ac:dyDescent="0.3">
      <c r="A36" s="6" t="str">
        <f>Mensuel!A43</f>
        <v>Tricycles : mensualités du solde</v>
      </c>
      <c r="B36" s="22">
        <f>Mensuel!B43</f>
        <v>0</v>
      </c>
      <c r="C36" s="22">
        <f>Mensuel!C43</f>
        <v>994583.33333333314</v>
      </c>
      <c r="D36" s="22">
        <f>Mensuel!D43</f>
        <v>90416.666666666672</v>
      </c>
      <c r="E36" s="22">
        <f>Mensuel!E43</f>
        <v>0</v>
      </c>
      <c r="F36" s="22">
        <f>Mensuel!F43</f>
        <v>1084999.9999999998</v>
      </c>
    </row>
    <row r="37" spans="1:6" x14ac:dyDescent="0.3">
      <c r="A37" s="6" t="str">
        <f>Mensuel!A44</f>
        <v>Motos : achat comptant</v>
      </c>
      <c r="B37" s="22">
        <f>Mensuel!B44</f>
        <v>0</v>
      </c>
      <c r="C37" s="22">
        <f>Mensuel!C44</f>
        <v>2375000</v>
      </c>
      <c r="D37" s="22">
        <f>Mensuel!D44</f>
        <v>0</v>
      </c>
      <c r="E37" s="22">
        <f>Mensuel!E44</f>
        <v>0</v>
      </c>
      <c r="F37" s="22">
        <f>Mensuel!F44</f>
        <v>2375000</v>
      </c>
    </row>
    <row r="38" spans="1:6" x14ac:dyDescent="0.3">
      <c r="A38" s="10" t="s">
        <v>360</v>
      </c>
      <c r="B38" s="24">
        <f>Mensuel!B45</f>
        <v>0</v>
      </c>
      <c r="C38" s="24">
        <f>Mensuel!C45</f>
        <v>3834583.3333333316</v>
      </c>
      <c r="D38" s="24">
        <f>Mensuel!D45</f>
        <v>90416.666666666672</v>
      </c>
      <c r="E38" s="24">
        <f>Mensuel!E45</f>
        <v>0</v>
      </c>
      <c r="F38" s="24">
        <f>Mensuel!F45</f>
        <v>3924999.9999999981</v>
      </c>
    </row>
    <row r="40" spans="1:6" x14ac:dyDescent="0.3">
      <c r="A40" s="4" t="s">
        <v>361</v>
      </c>
      <c r="B40" s="4"/>
      <c r="C40" s="4"/>
      <c r="D40" s="4"/>
      <c r="E40" s="4"/>
      <c r="F40" s="4"/>
    </row>
    <row r="41" spans="1:6" x14ac:dyDescent="0.3">
      <c r="A41" s="6" t="str">
        <f>Mensuel!A48</f>
        <v>Assurance + droit taxi + visite technique : tricycles (achat, puis anniversaires)</v>
      </c>
      <c r="B41" s="22">
        <f>Mensuel!B48</f>
        <v>0</v>
      </c>
      <c r="C41" s="22">
        <f>Mensuel!C48</f>
        <v>75000</v>
      </c>
      <c r="D41" s="22">
        <f>Mensuel!D48</f>
        <v>75000</v>
      </c>
      <c r="E41" s="22">
        <f>Mensuel!E48</f>
        <v>0</v>
      </c>
      <c r="F41" s="22">
        <f>Mensuel!F48</f>
        <v>150000</v>
      </c>
    </row>
    <row r="42" spans="1:6" x14ac:dyDescent="0.3">
      <c r="A42" s="6" t="str">
        <f>Mensuel!A49</f>
        <v>Assurance + droit taxi + visite technique : motos (à l'achat)</v>
      </c>
      <c r="B42" s="22">
        <f>Mensuel!B49</f>
        <v>0</v>
      </c>
      <c r="C42" s="22">
        <f>Mensuel!C49</f>
        <v>250000</v>
      </c>
      <c r="D42" s="22">
        <f>Mensuel!D49</f>
        <v>0</v>
      </c>
      <c r="E42" s="22">
        <f>Mensuel!E49</f>
        <v>0</v>
      </c>
      <c r="F42" s="22">
        <f>Mensuel!F49</f>
        <v>250000</v>
      </c>
    </row>
    <row r="43" spans="1:6" x14ac:dyDescent="0.3">
      <c r="A43" s="6" t="str">
        <f>Mensuel!A50</f>
        <v>Trackers GPS : tricycles (1re année, puis renouvellement)</v>
      </c>
      <c r="B43" s="22">
        <f>Mensuel!B50</f>
        <v>0</v>
      </c>
      <c r="C43" s="22">
        <f>Mensuel!C50</f>
        <v>139000</v>
      </c>
      <c r="D43" s="22">
        <f>Mensuel!D50</f>
        <v>89000</v>
      </c>
      <c r="E43" s="22">
        <f>Mensuel!E50</f>
        <v>0</v>
      </c>
      <c r="F43" s="22">
        <f>Mensuel!F50</f>
        <v>228000</v>
      </c>
    </row>
    <row r="44" spans="1:6" x14ac:dyDescent="0.3">
      <c r="A44" s="6" t="str">
        <f>Mensuel!A51</f>
        <v>Trackers GPS : motos (à l'achat)</v>
      </c>
      <c r="B44" s="22">
        <f>Mensuel!B51</f>
        <v>0</v>
      </c>
      <c r="C44" s="22">
        <f>Mensuel!C51</f>
        <v>695000</v>
      </c>
      <c r="D44" s="22">
        <f>Mensuel!D51</f>
        <v>0</v>
      </c>
      <c r="E44" s="22">
        <f>Mensuel!E51</f>
        <v>0</v>
      </c>
      <c r="F44" s="22">
        <f>Mensuel!F51</f>
        <v>695000</v>
      </c>
    </row>
    <row r="45" spans="1:6" x14ac:dyDescent="0.3">
      <c r="A45" s="10" t="s">
        <v>362</v>
      </c>
      <c r="B45" s="24">
        <f>Mensuel!B52</f>
        <v>0</v>
      </c>
      <c r="C45" s="24">
        <f>Mensuel!C52</f>
        <v>1159000</v>
      </c>
      <c r="D45" s="24">
        <f>Mensuel!D52</f>
        <v>164000</v>
      </c>
      <c r="E45" s="24">
        <f>Mensuel!E52</f>
        <v>0</v>
      </c>
      <c r="F45" s="24">
        <f>Mensuel!F52</f>
        <v>1323000</v>
      </c>
    </row>
    <row r="47" spans="1:6" x14ac:dyDescent="0.3">
      <c r="A47" s="10" t="s">
        <v>363</v>
      </c>
      <c r="B47" s="24">
        <f>Mensuel!B54</f>
        <v>4550000</v>
      </c>
      <c r="C47" s="24">
        <f>Mensuel!C54</f>
        <v>13950694.33333333</v>
      </c>
      <c r="D47" s="24">
        <f>Mensuel!D54</f>
        <v>10415666.666666668</v>
      </c>
      <c r="E47" s="24">
        <f>Mensuel!E54</f>
        <v>10784250</v>
      </c>
      <c r="F47" s="24">
        <f>Mensuel!F54</f>
        <v>39700611</v>
      </c>
    </row>
    <row r="48" spans="1:6" x14ac:dyDescent="0.3">
      <c r="A48" s="2" t="s">
        <v>364</v>
      </c>
      <c r="B48" s="28">
        <f>B13+B32+B38+B45-B47</f>
        <v>0</v>
      </c>
      <c r="C48" s="28">
        <f>C13+C32+C38+C45-C47</f>
        <v>0</v>
      </c>
      <c r="D48" s="28">
        <f>D13+D32+D38+D45-D47</f>
        <v>0</v>
      </c>
      <c r="E48" s="28">
        <f>E13+E32+E38+E45-E47</f>
        <v>0</v>
      </c>
      <c r="F48" s="28">
        <f>F13+F32+F38+F45-F47</f>
        <v>0</v>
      </c>
    </row>
    <row r="50" spans="1:6" x14ac:dyDescent="0.3">
      <c r="A50" s="4" t="s">
        <v>365</v>
      </c>
      <c r="B50" s="4"/>
      <c r="C50" s="4"/>
      <c r="D50" s="4"/>
      <c r="E50" s="4"/>
      <c r="F50" s="4"/>
    </row>
    <row r="51" spans="1:6" x14ac:dyDescent="0.3">
      <c r="A51" s="6" t="s">
        <v>366</v>
      </c>
      <c r="B51" s="22">
        <f>Mensuel!B70</f>
        <v>0</v>
      </c>
      <c r="C51" s="22">
        <f>Mensuel!C70</f>
        <v>775000.00000000012</v>
      </c>
      <c r="D51" s="22">
        <f>Mensuel!D70</f>
        <v>775000.00000000012</v>
      </c>
      <c r="E51" s="22">
        <f>Mensuel!E70</f>
        <v>0</v>
      </c>
      <c r="F51" s="22">
        <f>Mensuel!F70</f>
        <v>1550000.0000000002</v>
      </c>
    </row>
    <row r="52" spans="1:6" x14ac:dyDescent="0.3">
      <c r="A52" s="6" t="s">
        <v>367</v>
      </c>
      <c r="B52" s="22">
        <f>Mensuel!B71</f>
        <v>0</v>
      </c>
      <c r="C52" s="22">
        <f>Mensuel!C71</f>
        <v>2375000</v>
      </c>
      <c r="D52" s="22">
        <f>Mensuel!D71</f>
        <v>0</v>
      </c>
      <c r="E52" s="22">
        <f>Mensuel!E71</f>
        <v>0</v>
      </c>
      <c r="F52" s="22">
        <f>Mensuel!F71</f>
        <v>2375000</v>
      </c>
    </row>
    <row r="53" spans="1:6" x14ac:dyDescent="0.3">
      <c r="A53" s="6" t="s">
        <v>368</v>
      </c>
      <c r="B53" s="22">
        <f>Mensuel!B72</f>
        <v>0</v>
      </c>
      <c r="C53" s="22">
        <f>Mensuel!C72</f>
        <v>333333.33333333326</v>
      </c>
      <c r="D53" s="22">
        <f>Mensuel!D72</f>
        <v>333333.33333333326</v>
      </c>
      <c r="E53" s="22">
        <f>Mensuel!E72</f>
        <v>333333.33333333326</v>
      </c>
      <c r="F53" s="22">
        <f>Mensuel!F72</f>
        <v>999999.99999999977</v>
      </c>
    </row>
    <row r="54" spans="1:6" x14ac:dyDescent="0.3">
      <c r="A54" s="6" t="s">
        <v>369</v>
      </c>
      <c r="B54" s="22">
        <f>Mensuel!B74</f>
        <v>3050000</v>
      </c>
      <c r="C54" s="22">
        <f>Mensuel!C74</f>
        <v>0</v>
      </c>
      <c r="D54" s="22">
        <f>Mensuel!D74</f>
        <v>0</v>
      </c>
      <c r="E54" s="22">
        <f>Mensuel!E74</f>
        <v>0</v>
      </c>
      <c r="F54" s="22">
        <f>Mensuel!F74</f>
        <v>3050000</v>
      </c>
    </row>
    <row r="55" spans="1:6" x14ac:dyDescent="0.3">
      <c r="A55" s="6" t="s">
        <v>370</v>
      </c>
      <c r="B55" s="22">
        <f>Mensuel!B75</f>
        <v>0</v>
      </c>
      <c r="C55" s="22">
        <f>Mensuel!C75</f>
        <v>95000</v>
      </c>
      <c r="D55" s="22">
        <f>Mensuel!D75</f>
        <v>190000</v>
      </c>
      <c r="E55" s="22">
        <f>Mensuel!E75</f>
        <v>190000</v>
      </c>
      <c r="F55" s="22">
        <f>Mensuel!F75</f>
        <v>475000</v>
      </c>
    </row>
    <row r="56" spans="1:6" x14ac:dyDescent="0.3">
      <c r="A56" s="6" t="s">
        <v>371</v>
      </c>
      <c r="B56" s="22">
        <f>Mensuel!B76</f>
        <v>0</v>
      </c>
      <c r="C56" s="22">
        <f>Mensuel!C76</f>
        <v>600000</v>
      </c>
      <c r="D56" s="22">
        <f>Mensuel!D76</f>
        <v>600000</v>
      </c>
      <c r="E56" s="22">
        <f>Mensuel!E76</f>
        <v>600000</v>
      </c>
      <c r="F56" s="22">
        <f>Mensuel!F76</f>
        <v>1800000</v>
      </c>
    </row>
    <row r="58" spans="1:6" x14ac:dyDescent="0.3">
      <c r="A58" s="2" t="s">
        <v>372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showGridLines="0" workbookViewId="0">
      <pane xSplit="1" ySplit="3" topLeftCell="B4" activePane="bottomRight" state="frozen"/>
      <selection pane="topRight"/>
      <selection pane="bottomLeft"/>
      <selection pane="bottomRight"/>
    </sheetView>
  </sheetViews>
  <sheetFormatPr baseColWidth="10" defaultColWidth="8.88671875" defaultRowHeight="14.4" x14ac:dyDescent="0.3"/>
  <cols>
    <col min="1" max="1" width="64" style="35" customWidth="1"/>
    <col min="2" max="3" width="18" style="35" customWidth="1"/>
    <col min="4" max="5" width="22" style="35" customWidth="1"/>
    <col min="6" max="6" width="18" style="35" customWidth="1"/>
  </cols>
  <sheetData>
    <row r="1" spans="1:6" ht="17.399999999999999" customHeight="1" x14ac:dyDescent="0.3">
      <c r="A1" s="1" t="s">
        <v>373</v>
      </c>
    </row>
    <row r="2" spans="1:6" x14ac:dyDescent="0.3">
      <c r="A2" s="2" t="s">
        <v>374</v>
      </c>
    </row>
    <row r="4" spans="1:6" x14ac:dyDescent="0.3">
      <c r="A4" s="4" t="s">
        <v>375</v>
      </c>
      <c r="B4" s="4"/>
      <c r="C4" s="4"/>
      <c r="D4" s="4"/>
      <c r="E4" s="4"/>
      <c r="F4" s="4"/>
    </row>
    <row r="5" spans="1:6" ht="30" customHeight="1" x14ac:dyDescent="0.3">
      <c r="A5" s="27" t="s">
        <v>291</v>
      </c>
      <c r="B5" s="21" t="s">
        <v>24</v>
      </c>
      <c r="C5" s="21" t="s">
        <v>25</v>
      </c>
      <c r="D5" s="21" t="s">
        <v>26</v>
      </c>
      <c r="E5" s="21" t="s">
        <v>27</v>
      </c>
      <c r="F5" s="21" t="s">
        <v>28</v>
      </c>
    </row>
    <row r="6" spans="1:6" x14ac:dyDescent="0.3">
      <c r="A6" s="6" t="s">
        <v>8</v>
      </c>
      <c r="B6" s="22">
        <f>Mensuel!C59</f>
        <v>3752450</v>
      </c>
      <c r="C6" s="22">
        <f>Mensuel!C58</f>
        <v>1345500</v>
      </c>
      <c r="D6" s="22">
        <f>Mensuel!C60</f>
        <v>5201625</v>
      </c>
      <c r="E6" s="22">
        <f>Mensuel!C61</f>
        <v>3962400</v>
      </c>
      <c r="F6" s="25">
        <f>SUM(B6:E6)</f>
        <v>14261975</v>
      </c>
    </row>
    <row r="7" spans="1:6" x14ac:dyDescent="0.3">
      <c r="A7" s="6" t="s">
        <v>376</v>
      </c>
      <c r="B7" s="22">
        <f>-Mensuel!C71</f>
        <v>-2375000</v>
      </c>
      <c r="C7" s="22">
        <f>-Mensuel!C70</f>
        <v>-775000.00000000012</v>
      </c>
      <c r="D7" s="22">
        <v>0</v>
      </c>
      <c r="E7" s="22">
        <v>0</v>
      </c>
      <c r="F7" s="22">
        <f>SUM(B7:E7)</f>
        <v>-3150000</v>
      </c>
    </row>
    <row r="8" spans="1:6" x14ac:dyDescent="0.3">
      <c r="A8" s="6" t="s">
        <v>377</v>
      </c>
      <c r="B8" s="22">
        <f>-Mensuel!C49</f>
        <v>-250000</v>
      </c>
      <c r="C8" s="22">
        <f>-Mensuel!C48</f>
        <v>-75000</v>
      </c>
      <c r="D8" s="22">
        <v>0</v>
      </c>
      <c r="E8" s="22">
        <v>0</v>
      </c>
      <c r="F8" s="22">
        <f>SUM(B8:E8)</f>
        <v>-325000</v>
      </c>
    </row>
    <row r="9" spans="1:6" x14ac:dyDescent="0.3">
      <c r="A9" s="6" t="s">
        <v>378</v>
      </c>
      <c r="B9" s="22">
        <f>-Mensuel!C51</f>
        <v>-695000</v>
      </c>
      <c r="C9" s="22">
        <f>-Mensuel!C50</f>
        <v>-139000</v>
      </c>
      <c r="D9" s="22">
        <v>0</v>
      </c>
      <c r="E9" s="22">
        <v>0</v>
      </c>
      <c r="F9" s="22">
        <f>SUM(B9:E9)</f>
        <v>-834000</v>
      </c>
    </row>
    <row r="10" spans="1:6" x14ac:dyDescent="0.3">
      <c r="A10" s="6" t="s">
        <v>379</v>
      </c>
      <c r="B10" s="22">
        <f>-Mensuel!C33*IF(Mensuel!C84=0,0,Mensuel!C81/Mensuel!C84)</f>
        <v>-244916.0316378017</v>
      </c>
      <c r="C10" s="22">
        <f>-Mensuel!C33*IF(Mensuel!C84=0,0,Mensuel!C80/Mensuel!C84)</f>
        <v>-83731.976628308272</v>
      </c>
      <c r="D10" s="22">
        <f>-Mensuel!C33*IF(Mensuel!C84=0,0,Mensuel!C82/Mensuel!C84)</f>
        <v>-822939.7094273516</v>
      </c>
      <c r="E10" s="22">
        <f>-Mensuel!C33*IF(Mensuel!C84=0,0,Mensuel!C83/Mensuel!C84)</f>
        <v>-583648.28230653843</v>
      </c>
      <c r="F10" s="22">
        <f>SUM(B10:E10)</f>
        <v>-1735236</v>
      </c>
    </row>
    <row r="11" spans="1:6" x14ac:dyDescent="0.3">
      <c r="A11" s="10" t="s">
        <v>380</v>
      </c>
      <c r="B11" s="24">
        <f>SUM(B6:B10)</f>
        <v>187533.9683621983</v>
      </c>
      <c r="C11" s="24">
        <f>SUM(C6:C10)</f>
        <v>272768.02337169158</v>
      </c>
      <c r="D11" s="24">
        <f>SUM(D6:D10)</f>
        <v>4378685.2905726489</v>
      </c>
      <c r="E11" s="24">
        <f>SUM(E6:E10)</f>
        <v>3378751.7176934616</v>
      </c>
      <c r="F11" s="24">
        <f>SUM(F6:F10)</f>
        <v>8217739</v>
      </c>
    </row>
    <row r="12" spans="1:6" x14ac:dyDescent="0.3">
      <c r="A12" s="6" t="s">
        <v>381</v>
      </c>
      <c r="B12" s="36">
        <f>IF(B6=0,0,B11/B6)</f>
        <v>4.9976406977361006E-2</v>
      </c>
      <c r="C12" s="36">
        <f>IF(C6=0,0,C11/C6)</f>
        <v>0.2027261414876935</v>
      </c>
      <c r="D12" s="36">
        <f>IF(D6=0,0,D11/D6)</f>
        <v>0.84179180363302797</v>
      </c>
      <c r="E12" s="36">
        <f>IF(E6=0,0,E11/E6)</f>
        <v>0.8527033408271405</v>
      </c>
      <c r="F12" s="36">
        <f>IF(F6=0,0,F11/F6)</f>
        <v>0.57619922906890531</v>
      </c>
    </row>
    <row r="13" spans="1:6" x14ac:dyDescent="0.3">
      <c r="A13" s="6" t="s">
        <v>382</v>
      </c>
      <c r="B13" s="22">
        <f>-(Mensuel!C39-Mensuel!C33)*IF($F6=0,0,B6/$F6)</f>
        <v>-1900138.2938723422</v>
      </c>
      <c r="C13" s="22">
        <f>-(Mensuel!C39-Mensuel!C33)*IF($F6=0,0,C6/$F6)</f>
        <v>-681324.48784267262</v>
      </c>
      <c r="D13" s="22">
        <f>-(Mensuel!C39-Mensuel!C33)*IF($F6=0,0,D6/$F6)</f>
        <v>-2633960.9729280127</v>
      </c>
      <c r="E13" s="22">
        <f>-(Mensuel!C39-Mensuel!C33)*IF($F6=0,0,E6/$F6)</f>
        <v>-2006451.2453569719</v>
      </c>
      <c r="F13" s="22">
        <f>SUM(B13:E13)</f>
        <v>-7221875</v>
      </c>
    </row>
    <row r="14" spans="1:6" x14ac:dyDescent="0.3">
      <c r="A14" s="10" t="s">
        <v>383</v>
      </c>
      <c r="B14" s="24">
        <f>B11+B13</f>
        <v>-1712604.325510144</v>
      </c>
      <c r="C14" s="24">
        <f>C11+C13</f>
        <v>-408556.46447098104</v>
      </c>
      <c r="D14" s="24">
        <f>D11+D13</f>
        <v>1744724.3176446361</v>
      </c>
      <c r="E14" s="24">
        <f>E11+E13</f>
        <v>1372300.4723364897</v>
      </c>
      <c r="F14" s="24">
        <f>F11+F13</f>
        <v>995864</v>
      </c>
    </row>
    <row r="15" spans="1:6" x14ac:dyDescent="0.3">
      <c r="A15" s="6" t="s">
        <v>384</v>
      </c>
      <c r="B15" s="39">
        <f>AVERAGE(Mensuel!H10:S10)+AVERAGE(Mensuel!H90:S90)</f>
        <v>5</v>
      </c>
      <c r="C15" s="39">
        <f>AVERAGE(Mensuel!H9:S9)+AVERAGE(Mensuel!H89:S89)</f>
        <v>1</v>
      </c>
      <c r="D15" s="39">
        <f>Hypothèses!$B$57+AVERAGE(Mensuel!H87:S87)</f>
        <v>7.25</v>
      </c>
      <c r="E15" s="39">
        <f>Hypothèses!$B$58+AVERAGE(Mensuel!H88:S88)</f>
        <v>4.25</v>
      </c>
      <c r="F15" s="39">
        <f>SUM(B15:E15)</f>
        <v>17.5</v>
      </c>
    </row>
    <row r="16" spans="1:6" x14ac:dyDescent="0.3">
      <c r="A16" s="6" t="s">
        <v>385</v>
      </c>
      <c r="B16" s="22">
        <f>IF(B15=0,0,B11/(B15*Hypothèses!$B$47*12))</f>
        <v>120.21408228346044</v>
      </c>
      <c r="C16" s="22">
        <f>IF(C15=0,0,C11/(C15*Hypothèses!$B$47*12))</f>
        <v>874.2564851656781</v>
      </c>
      <c r="D16" s="22">
        <f>IF(D15=0,0,D11/(D15*Hypothèses!$B$47*12))</f>
        <v>1935.7583070612948</v>
      </c>
      <c r="E16" s="22">
        <f>IF(E15=0,0,E11/(E15*Hypothèses!$B$47*12))</f>
        <v>2548.0782184716904</v>
      </c>
      <c r="F16" s="22">
        <f>IF(F15=0,0,F11/(F15*Hypothèses!$B$47*12))</f>
        <v>1505.0804029304029</v>
      </c>
    </row>
    <row r="17" spans="1:6" x14ac:dyDescent="0.3">
      <c r="A17" s="6" t="s">
        <v>386</v>
      </c>
      <c r="B17" s="22">
        <f>IF(B15=0,0,B14/(B15*Hypothèses!$B$47*12))</f>
        <v>-1097.8232855834256</v>
      </c>
      <c r="C17" s="22">
        <f>IF(C15=0,0,C14/(C15*Hypothèses!$B$47*12))</f>
        <v>-1309.4758476634008</v>
      </c>
      <c r="D17" s="22">
        <f>IF(D15=0,0,D14/(D15*Hypothèses!$B$47*12))</f>
        <v>771.3193269870186</v>
      </c>
      <c r="E17" s="22">
        <f>IF(E15=0,0,E14/(E15*Hypothèses!$B$47*12))</f>
        <v>1034.9173999521038</v>
      </c>
      <c r="F17" s="22">
        <f>IF(F15=0,0,F14/(F15*Hypothèses!$B$47*12))</f>
        <v>182.39267399267399</v>
      </c>
    </row>
    <row r="19" spans="1:6" x14ac:dyDescent="0.3">
      <c r="A19" s="4" t="s">
        <v>387</v>
      </c>
      <c r="B19" s="4"/>
      <c r="C19" s="4"/>
      <c r="D19" s="4"/>
      <c r="E19" s="4"/>
      <c r="F19" s="4"/>
    </row>
    <row r="20" spans="1:6" ht="30" customHeight="1" x14ac:dyDescent="0.3">
      <c r="A20" s="27" t="s">
        <v>291</v>
      </c>
      <c r="B20" s="21" t="s">
        <v>24</v>
      </c>
      <c r="C20" s="21" t="s">
        <v>25</v>
      </c>
      <c r="D20" s="21" t="s">
        <v>26</v>
      </c>
      <c r="E20" s="21" t="s">
        <v>27</v>
      </c>
      <c r="F20" s="21" t="s">
        <v>28</v>
      </c>
    </row>
    <row r="21" spans="1:6" x14ac:dyDescent="0.3">
      <c r="A21" s="6" t="s">
        <v>8</v>
      </c>
      <c r="B21" s="22">
        <f>Mensuel!D59</f>
        <v>1825200</v>
      </c>
      <c r="C21" s="22">
        <f>Mensuel!D58</f>
        <v>1404000</v>
      </c>
      <c r="D21" s="22">
        <f>Mensuel!D60</f>
        <v>6809400</v>
      </c>
      <c r="E21" s="22">
        <f>Mensuel!D61</f>
        <v>5943600</v>
      </c>
      <c r="F21" s="25">
        <f>SUM(B21:E21)</f>
        <v>15982200</v>
      </c>
    </row>
    <row r="22" spans="1:6" x14ac:dyDescent="0.3">
      <c r="A22" s="6" t="s">
        <v>376</v>
      </c>
      <c r="B22" s="22">
        <f>-Mensuel!D71</f>
        <v>0</v>
      </c>
      <c r="C22" s="22">
        <f>-Mensuel!D70</f>
        <v>-775000.00000000012</v>
      </c>
      <c r="D22" s="22">
        <v>0</v>
      </c>
      <c r="E22" s="22">
        <v>0</v>
      </c>
      <c r="F22" s="22">
        <f>SUM(B22:E22)</f>
        <v>-775000.00000000012</v>
      </c>
    </row>
    <row r="23" spans="1:6" x14ac:dyDescent="0.3">
      <c r="A23" s="6" t="s">
        <v>377</v>
      </c>
      <c r="B23" s="22">
        <f>-Mensuel!D49</f>
        <v>0</v>
      </c>
      <c r="C23" s="22">
        <f>-Mensuel!D48</f>
        <v>-75000</v>
      </c>
      <c r="D23" s="22">
        <v>0</v>
      </c>
      <c r="E23" s="22">
        <v>0</v>
      </c>
      <c r="F23" s="22">
        <f>SUM(B23:E23)</f>
        <v>-75000</v>
      </c>
    </row>
    <row r="24" spans="1:6" x14ac:dyDescent="0.3">
      <c r="A24" s="6" t="s">
        <v>378</v>
      </c>
      <c r="B24" s="22">
        <f>-Mensuel!D51</f>
        <v>0</v>
      </c>
      <c r="C24" s="22">
        <f>-Mensuel!D50</f>
        <v>-89000</v>
      </c>
      <c r="D24" s="22">
        <v>0</v>
      </c>
      <c r="E24" s="22">
        <v>0</v>
      </c>
      <c r="F24" s="22">
        <f>SUM(B24:E24)</f>
        <v>-89000</v>
      </c>
    </row>
    <row r="25" spans="1:6" x14ac:dyDescent="0.3">
      <c r="A25" s="6" t="s">
        <v>379</v>
      </c>
      <c r="B25" s="22">
        <f>-Mensuel!D33*IF(Mensuel!D84=0,0,Mensuel!D81/Mensuel!D84)</f>
        <v>-200380.58991436727</v>
      </c>
      <c r="C25" s="22">
        <f>-Mensuel!D33*IF(Mensuel!D84=0,0,Mensuel!D80/Mensuel!D84)</f>
        <v>-68506.184586108473</v>
      </c>
      <c r="D25" s="22">
        <f>-Mensuel!D33*IF(Mensuel!D84=0,0,Mensuel!D82/Mensuel!D84)</f>
        <v>-844681.25594671746</v>
      </c>
      <c r="E25" s="22">
        <f>-Mensuel!D33*IF(Mensuel!D84=0,0,Mensuel!D83/Mensuel!D84)</f>
        <v>-686431.96955280693</v>
      </c>
      <c r="F25" s="22">
        <f>SUM(B25:E25)</f>
        <v>-1800000</v>
      </c>
    </row>
    <row r="26" spans="1:6" x14ac:dyDescent="0.3">
      <c r="A26" s="10" t="s">
        <v>380</v>
      </c>
      <c r="B26" s="24">
        <f>SUM(B21:B25)</f>
        <v>1624819.4100856327</v>
      </c>
      <c r="C26" s="24">
        <f>SUM(C21:C25)</f>
        <v>396493.8154138914</v>
      </c>
      <c r="D26" s="24">
        <f>SUM(D21:D25)</f>
        <v>5964718.7440532828</v>
      </c>
      <c r="E26" s="24">
        <f>SUM(E21:E25)</f>
        <v>5257168.0304471934</v>
      </c>
      <c r="F26" s="24">
        <f>SUM(F21:F25)</f>
        <v>13243200</v>
      </c>
    </row>
    <row r="27" spans="1:6" x14ac:dyDescent="0.3">
      <c r="A27" s="6" t="s">
        <v>381</v>
      </c>
      <c r="B27" s="36">
        <f>IF(B21=0,0,B26/B21)</f>
        <v>0.89021444777867231</v>
      </c>
      <c r="C27" s="36">
        <f>IF(C21=0,0,C26/C21)</f>
        <v>0.28240300243154659</v>
      </c>
      <c r="D27" s="36">
        <f>IF(D21=0,0,D26/D21)</f>
        <v>0.87595364408806686</v>
      </c>
      <c r="E27" s="36">
        <f>IF(E21=0,0,E26/E21)</f>
        <v>0.8845090568758317</v>
      </c>
      <c r="F27" s="36">
        <f>IF(F21=0,0,F26/F21)</f>
        <v>0.82862184179900134</v>
      </c>
    </row>
    <row r="28" spans="1:6" x14ac:dyDescent="0.3">
      <c r="A28" s="6" t="s">
        <v>382</v>
      </c>
      <c r="B28" s="22">
        <f>-(Mensuel!D39-Mensuel!D33)*IF($F21=0,0,B21/$F21)</f>
        <v>-954871.88872620789</v>
      </c>
      <c r="C28" s="22">
        <f>-(Mensuel!D39-Mensuel!D33)*IF($F21=0,0,C21/$F21)</f>
        <v>-734516.83748169837</v>
      </c>
      <c r="D28" s="22">
        <f>-(Mensuel!D39-Mensuel!D33)*IF($F21=0,0,D21/$F21)</f>
        <v>-3562406.6617862373</v>
      </c>
      <c r="E28" s="22">
        <f>-(Mensuel!D39-Mensuel!D33)*IF($F21=0,0,E21/$F21)</f>
        <v>-3109454.6120058568</v>
      </c>
      <c r="F28" s="22">
        <f>SUM(B28:E28)</f>
        <v>-8361250.0000000009</v>
      </c>
    </row>
    <row r="29" spans="1:6" x14ac:dyDescent="0.3">
      <c r="A29" s="10" t="s">
        <v>383</v>
      </c>
      <c r="B29" s="24">
        <f>B26+B28</f>
        <v>669947.52135942481</v>
      </c>
      <c r="C29" s="24">
        <f>C26+C28</f>
        <v>-338023.02206780697</v>
      </c>
      <c r="D29" s="24">
        <f>D26+D28</f>
        <v>2402312.0822670455</v>
      </c>
      <c r="E29" s="24">
        <f>E26+E28</f>
        <v>2147713.4184413366</v>
      </c>
      <c r="F29" s="24">
        <f>F26+F28</f>
        <v>4881949.9999999991</v>
      </c>
    </row>
    <row r="30" spans="1:6" x14ac:dyDescent="0.3">
      <c r="A30" s="6" t="s">
        <v>384</v>
      </c>
      <c r="B30" s="39">
        <f>AVERAGE(Mensuel!T10:AE10)+AVERAGE(Mensuel!T90:AE90)</f>
        <v>5</v>
      </c>
      <c r="C30" s="39">
        <f>AVERAGE(Mensuel!T9:AE9)+AVERAGE(Mensuel!T89:AE89)</f>
        <v>1</v>
      </c>
      <c r="D30" s="39">
        <f>Hypothèses!$B$57+AVERAGE(Mensuel!T87:AE87)</f>
        <v>9</v>
      </c>
      <c r="E30" s="39">
        <f>Hypothèses!$B$58+AVERAGE(Mensuel!T88:AE88)</f>
        <v>6</v>
      </c>
      <c r="F30" s="39">
        <f>SUM(B30:E30)</f>
        <v>21</v>
      </c>
    </row>
    <row r="31" spans="1:6" x14ac:dyDescent="0.3">
      <c r="A31" s="6" t="s">
        <v>385</v>
      </c>
      <c r="B31" s="22">
        <f>IF(B30=0,0,B26/(B30*Hypothèses!$B$47*12))</f>
        <v>1041.5509039010467</v>
      </c>
      <c r="C31" s="22">
        <f>IF(C30=0,0,C26/(C30*Hypothèses!$B$47*12))</f>
        <v>1270.8135109419595</v>
      </c>
      <c r="D31" s="22">
        <f>IF(D30=0,0,D26/(D30*Hypothèses!$B$47*12))</f>
        <v>2124.1875869135624</v>
      </c>
      <c r="E31" s="22">
        <f>IF(E30=0,0,E26/(E30*Hypothèses!$B$47*12))</f>
        <v>2808.3162555807658</v>
      </c>
      <c r="F31" s="22">
        <f>IF(F30=0,0,F26/(F30*Hypothèses!$B$47*12))</f>
        <v>2021.2454212454213</v>
      </c>
    </row>
    <row r="32" spans="1:6" x14ac:dyDescent="0.3">
      <c r="A32" s="6" t="s">
        <v>386</v>
      </c>
      <c r="B32" s="22">
        <f>IF(B30=0,0,B29/(B30*Hypothèses!$B$47*12))</f>
        <v>429.45353933296462</v>
      </c>
      <c r="C32" s="22">
        <f>IF(C30=0,0,C29/(C30*Hypothèses!$B$47*12))</f>
        <v>-1083.4071220122019</v>
      </c>
      <c r="D32" s="22">
        <f>IF(D30=0,0,D29/(D30*Hypothèses!$B$47*12))</f>
        <v>855.52424582159745</v>
      </c>
      <c r="E32" s="22">
        <f>IF(E30=0,0,E29/(E30*Hypothèses!$B$47*12))</f>
        <v>1147.2828089964405</v>
      </c>
      <c r="F32" s="22">
        <f>IF(F30=0,0,F29/(F30*Hypothèses!$B$47*12))</f>
        <v>745.10836385836376</v>
      </c>
    </row>
    <row r="34" spans="1:6" x14ac:dyDescent="0.3">
      <c r="A34" s="4" t="s">
        <v>388</v>
      </c>
      <c r="B34" s="4"/>
      <c r="C34" s="4"/>
      <c r="D34" s="4"/>
      <c r="E34" s="4"/>
      <c r="F34" s="4"/>
    </row>
    <row r="35" spans="1:6" ht="30" customHeight="1" x14ac:dyDescent="0.3">
      <c r="A35" s="27" t="s">
        <v>291</v>
      </c>
      <c r="B35" s="21" t="s">
        <v>24</v>
      </c>
      <c r="C35" s="21" t="s">
        <v>25</v>
      </c>
      <c r="D35" s="21" t="s">
        <v>26</v>
      </c>
      <c r="E35" s="21" t="s">
        <v>27</v>
      </c>
      <c r="F35" s="21" t="s">
        <v>28</v>
      </c>
    </row>
    <row r="36" spans="1:6" x14ac:dyDescent="0.3">
      <c r="A36" s="6" t="s">
        <v>8</v>
      </c>
      <c r="B36" s="22">
        <f>Mensuel!E59</f>
        <v>1825200</v>
      </c>
      <c r="C36" s="22">
        <f>Mensuel!E58</f>
        <v>624000</v>
      </c>
      <c r="D36" s="22">
        <f>Mensuel!E60</f>
        <v>6809400</v>
      </c>
      <c r="E36" s="22">
        <f>Mensuel!E61</f>
        <v>5943600</v>
      </c>
      <c r="F36" s="25">
        <f>SUM(B36:E36)</f>
        <v>15202200</v>
      </c>
    </row>
    <row r="37" spans="1:6" x14ac:dyDescent="0.3">
      <c r="A37" s="6" t="s">
        <v>376</v>
      </c>
      <c r="B37" s="22">
        <f>-Mensuel!E71</f>
        <v>0</v>
      </c>
      <c r="C37" s="22">
        <f>-Mensuel!E70</f>
        <v>0</v>
      </c>
      <c r="D37" s="22">
        <v>0</v>
      </c>
      <c r="E37" s="22">
        <v>0</v>
      </c>
      <c r="F37" s="22">
        <f>SUM(B37:E37)</f>
        <v>0</v>
      </c>
    </row>
    <row r="38" spans="1:6" x14ac:dyDescent="0.3">
      <c r="A38" s="6" t="s">
        <v>377</v>
      </c>
      <c r="B38" s="22">
        <f>-Mensuel!E49</f>
        <v>0</v>
      </c>
      <c r="C38" s="22">
        <f>-Mensuel!E48</f>
        <v>0</v>
      </c>
      <c r="D38" s="22">
        <v>0</v>
      </c>
      <c r="E38" s="22">
        <v>0</v>
      </c>
      <c r="F38" s="22">
        <f>SUM(B38:E38)</f>
        <v>0</v>
      </c>
    </row>
    <row r="39" spans="1:6" x14ac:dyDescent="0.3">
      <c r="A39" s="6" t="s">
        <v>378</v>
      </c>
      <c r="B39" s="22">
        <f>-Mensuel!E51</f>
        <v>0</v>
      </c>
      <c r="C39" s="22">
        <f>-Mensuel!E50</f>
        <v>0</v>
      </c>
      <c r="D39" s="22">
        <v>0</v>
      </c>
      <c r="E39" s="22">
        <v>0</v>
      </c>
      <c r="F39" s="22">
        <f>SUM(B39:E39)</f>
        <v>0</v>
      </c>
    </row>
    <row r="40" spans="1:6" x14ac:dyDescent="0.3">
      <c r="A40" s="6" t="s">
        <v>379</v>
      </c>
      <c r="B40" s="22">
        <f>-Mensuel!E33*IF(Mensuel!E84=0,0,Mensuel!E81/Mensuel!E84)</f>
        <v>-200380.58991436727</v>
      </c>
      <c r="C40" s="22">
        <f>-Mensuel!E33*IF(Mensuel!E84=0,0,Mensuel!E80/Mensuel!E84)</f>
        <v>-68506.184586108473</v>
      </c>
      <c r="D40" s="22">
        <f>-Mensuel!E33*IF(Mensuel!E84=0,0,Mensuel!E82/Mensuel!E84)</f>
        <v>-844681.25594671746</v>
      </c>
      <c r="E40" s="22">
        <f>-Mensuel!E33*IF(Mensuel!E84=0,0,Mensuel!E83/Mensuel!E84)</f>
        <v>-686431.96955280693</v>
      </c>
      <c r="F40" s="22">
        <f>SUM(B40:E40)</f>
        <v>-1800000</v>
      </c>
    </row>
    <row r="41" spans="1:6" x14ac:dyDescent="0.3">
      <c r="A41" s="10" t="s">
        <v>380</v>
      </c>
      <c r="B41" s="24">
        <f>SUM(B36:B40)</f>
        <v>1624819.4100856327</v>
      </c>
      <c r="C41" s="24">
        <f>SUM(C36:C40)</f>
        <v>555493.81541389157</v>
      </c>
      <c r="D41" s="24">
        <f>SUM(D36:D40)</f>
        <v>5964718.7440532828</v>
      </c>
      <c r="E41" s="24">
        <f>SUM(E36:E40)</f>
        <v>5257168.0304471934</v>
      </c>
      <c r="F41" s="24">
        <f>SUM(F36:F40)</f>
        <v>13402200</v>
      </c>
    </row>
    <row r="42" spans="1:6" x14ac:dyDescent="0.3">
      <c r="A42" s="6" t="s">
        <v>381</v>
      </c>
      <c r="B42" s="36">
        <f>IF(B36=0,0,B41/B36)</f>
        <v>0.89021444777867231</v>
      </c>
      <c r="C42" s="36">
        <f>IF(C36=0,0,C41/C36)</f>
        <v>0.89021444777867242</v>
      </c>
      <c r="D42" s="36">
        <f>IF(D36=0,0,D41/D36)</f>
        <v>0.87595364408806686</v>
      </c>
      <c r="E42" s="36">
        <f>IF(E36=0,0,E41/E36)</f>
        <v>0.8845090568758317</v>
      </c>
      <c r="F42" s="36">
        <f>IF(F36=0,0,F41/F36)</f>
        <v>0.8815960847772033</v>
      </c>
    </row>
    <row r="43" spans="1:6" x14ac:dyDescent="0.3">
      <c r="A43" s="6" t="s">
        <v>382</v>
      </c>
      <c r="B43" s="22">
        <f>-(Mensuel!E39-Mensuel!E33)*IF($F36=0,0,B36/$F36)</f>
        <v>-1078663.160595177</v>
      </c>
      <c r="C43" s="22">
        <f>-(Mensuel!E39-Mensuel!E33)*IF($F36=0,0,C36/$F36)</f>
        <v>-368773.7301180092</v>
      </c>
      <c r="D43" s="22">
        <f>-(Mensuel!E39-Mensuel!E33)*IF($F36=0,0,D36/$F36)</f>
        <v>-4024243.3299127757</v>
      </c>
      <c r="E43" s="22">
        <f>-(Mensuel!E39-Mensuel!E33)*IF($F36=0,0,E36/$F36)</f>
        <v>-3512569.7793740379</v>
      </c>
      <c r="F43" s="22">
        <f>SUM(B43:E43)</f>
        <v>-8984250</v>
      </c>
    </row>
    <row r="44" spans="1:6" x14ac:dyDescent="0.3">
      <c r="A44" s="10" t="s">
        <v>383</v>
      </c>
      <c r="B44" s="24">
        <f>B41+B43</f>
        <v>546156.24949045572</v>
      </c>
      <c r="C44" s="24">
        <f>C41+C43</f>
        <v>186720.08529588237</v>
      </c>
      <c r="D44" s="24">
        <f>D41+D43</f>
        <v>1940475.4141405071</v>
      </c>
      <c r="E44" s="24">
        <f>E41+E43</f>
        <v>1744598.2510731556</v>
      </c>
      <c r="F44" s="24">
        <f>F41+F43</f>
        <v>4417950</v>
      </c>
    </row>
    <row r="45" spans="1:6" x14ac:dyDescent="0.3">
      <c r="A45" s="6" t="s">
        <v>384</v>
      </c>
      <c r="B45" s="39">
        <f>AVERAGE(Mensuel!AF10:AQ10)+AVERAGE(Mensuel!AF90:AQ90)</f>
        <v>5</v>
      </c>
      <c r="C45" s="39">
        <f>AVERAGE(Mensuel!AF9:AQ9)+AVERAGE(Mensuel!AF89:AQ89)</f>
        <v>1</v>
      </c>
      <c r="D45" s="39">
        <f>Hypothèses!$B$57+AVERAGE(Mensuel!AF87:AQ87)</f>
        <v>9</v>
      </c>
      <c r="E45" s="39">
        <f>Hypothèses!$B$58+AVERAGE(Mensuel!AF88:AQ88)</f>
        <v>6</v>
      </c>
      <c r="F45" s="39">
        <f>SUM(B45:E45)</f>
        <v>21</v>
      </c>
    </row>
    <row r="46" spans="1:6" x14ac:dyDescent="0.3">
      <c r="A46" s="6" t="s">
        <v>385</v>
      </c>
      <c r="B46" s="22">
        <f>IF(B45=0,0,B41/(B45*Hypothèses!$B$47*12))</f>
        <v>1041.5509039010467</v>
      </c>
      <c r="C46" s="22">
        <f>IF(C45=0,0,C41/(C45*Hypothèses!$B$47*12))</f>
        <v>1780.4288955573447</v>
      </c>
      <c r="D46" s="22">
        <f>IF(D45=0,0,D41/(D45*Hypothèses!$B$47*12))</f>
        <v>2124.1875869135624</v>
      </c>
      <c r="E46" s="22">
        <f>IF(E45=0,0,E41/(E45*Hypothèses!$B$47*12))</f>
        <v>2808.3162555807658</v>
      </c>
      <c r="F46" s="22">
        <f>IF(F45=0,0,F41/(F45*Hypothèses!$B$47*12))</f>
        <v>2045.5128205128206</v>
      </c>
    </row>
    <row r="47" spans="1:6" x14ac:dyDescent="0.3">
      <c r="A47" s="6" t="s">
        <v>386</v>
      </c>
      <c r="B47" s="22">
        <f>IF(B45=0,0,B44/(B45*Hypothèses!$B$47*12))</f>
        <v>350.10015992977929</v>
      </c>
      <c r="C47" s="22">
        <f>IF(C45=0,0,C44/(C45*Hypothèses!$B$47*12))</f>
        <v>598.46181184577677</v>
      </c>
      <c r="D47" s="22">
        <f>IF(D45=0,0,D44/(D45*Hypothèses!$B$47*12))</f>
        <v>691.05249791328606</v>
      </c>
      <c r="E47" s="22">
        <f>IF(E45=0,0,E44/(E45*Hypothèses!$B$47*12))</f>
        <v>931.94351018865143</v>
      </c>
      <c r="F47" s="22">
        <f>IF(F45=0,0,F44/(F45*Hypothèses!$B$47*12))</f>
        <v>674.29029304029302</v>
      </c>
    </row>
    <row r="49" spans="1:6" x14ac:dyDescent="0.3">
      <c r="A49" s="4" t="s">
        <v>389</v>
      </c>
      <c r="B49" s="4"/>
      <c r="C49" s="4"/>
      <c r="D49" s="4"/>
      <c r="E49" s="4"/>
      <c r="F49" s="4"/>
    </row>
    <row r="50" spans="1:6" ht="30" customHeight="1" x14ac:dyDescent="0.3">
      <c r="A50" s="27"/>
      <c r="B50" s="21" t="s">
        <v>3</v>
      </c>
      <c r="C50" s="21" t="s">
        <v>4</v>
      </c>
      <c r="D50" s="21" t="s">
        <v>5</v>
      </c>
    </row>
    <row r="51" spans="1:6" x14ac:dyDescent="0.3">
      <c r="A51" s="6" t="s">
        <v>390</v>
      </c>
      <c r="B51" s="22">
        <f>F14</f>
        <v>995864</v>
      </c>
      <c r="C51" s="22">
        <f>F29</f>
        <v>4881949.9999999991</v>
      </c>
      <c r="D51" s="22">
        <f>F44</f>
        <v>4417950</v>
      </c>
    </row>
    <row r="52" spans="1:6" x14ac:dyDescent="0.3">
      <c r="A52" s="6" t="s">
        <v>369</v>
      </c>
      <c r="B52" s="22">
        <f>-(Mensuel!B74+Mensuel!C74)</f>
        <v>-3050000</v>
      </c>
      <c r="C52" s="22">
        <f>-Mensuel!D74</f>
        <v>0</v>
      </c>
      <c r="D52" s="22">
        <f>-Mensuel!E74</f>
        <v>0</v>
      </c>
    </row>
    <row r="53" spans="1:6" x14ac:dyDescent="0.3">
      <c r="A53" s="6" t="s">
        <v>368</v>
      </c>
      <c r="B53" s="22">
        <f>-Mensuel!C72</f>
        <v>-333333.33333333326</v>
      </c>
      <c r="C53" s="22">
        <f>-Mensuel!D72</f>
        <v>-333333.33333333326</v>
      </c>
      <c r="D53" s="22">
        <f>-Mensuel!E72</f>
        <v>-333333.33333333326</v>
      </c>
    </row>
    <row r="54" spans="1:6" x14ac:dyDescent="0.3">
      <c r="A54" s="6" t="s">
        <v>391</v>
      </c>
      <c r="B54" s="25">
        <f>SUM(B51:B53)</f>
        <v>-2387469.333333333</v>
      </c>
      <c r="C54" s="25">
        <f>SUM(C51:C53)</f>
        <v>4548616.666666666</v>
      </c>
      <c r="D54" s="25">
        <f>SUM(D51:D53)</f>
        <v>4084616.666666667</v>
      </c>
    </row>
    <row r="55" spans="1:6" x14ac:dyDescent="0.3">
      <c r="A55" s="6" t="s">
        <v>392</v>
      </c>
      <c r="B55" s="22">
        <f>Résultat!B12</f>
        <v>-2387469.333333334</v>
      </c>
      <c r="C55" s="22">
        <f>Résultat!C12</f>
        <v>4548616.666666667</v>
      </c>
      <c r="D55" s="22">
        <f>Résultat!D12</f>
        <v>4084616.666666667</v>
      </c>
    </row>
    <row r="56" spans="1:6" x14ac:dyDescent="0.3">
      <c r="A56" s="6" t="s">
        <v>393</v>
      </c>
      <c r="B56" s="28">
        <f>B54-B55</f>
        <v>0</v>
      </c>
      <c r="C56" s="28">
        <f>C54-C55</f>
        <v>0</v>
      </c>
      <c r="D56" s="28">
        <f>D54-D55</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8" style="35" customWidth="1"/>
    <col min="2" max="5" width="18" style="35" customWidth="1"/>
  </cols>
  <sheetData>
    <row r="1" spans="1:5" ht="17.399999999999999" customHeight="1" x14ac:dyDescent="0.3">
      <c r="A1" s="1" t="s">
        <v>394</v>
      </c>
    </row>
    <row r="2" spans="1:5" x14ac:dyDescent="0.3">
      <c r="A2" s="2" t="s">
        <v>395</v>
      </c>
    </row>
    <row r="4" spans="1:5" ht="30" customHeight="1" x14ac:dyDescent="0.3">
      <c r="A4" s="27" t="s">
        <v>291</v>
      </c>
      <c r="B4" s="21" t="s">
        <v>3</v>
      </c>
      <c r="C4" s="21" t="s">
        <v>4</v>
      </c>
      <c r="D4" s="21" t="s">
        <v>5</v>
      </c>
      <c r="E4" s="21" t="s">
        <v>6</v>
      </c>
    </row>
    <row r="5" spans="1:5" x14ac:dyDescent="0.3">
      <c r="A5" s="4" t="s">
        <v>396</v>
      </c>
      <c r="B5" s="4"/>
      <c r="C5" s="4"/>
      <c r="D5" s="4"/>
      <c r="E5" s="4"/>
    </row>
    <row r="6" spans="1:5" x14ac:dyDescent="0.3">
      <c r="A6" s="12" t="s">
        <v>397</v>
      </c>
      <c r="B6" s="25">
        <f>Mensuel!C62</f>
        <v>14261975</v>
      </c>
      <c r="C6" s="25">
        <f>Mensuel!D62</f>
        <v>15982200</v>
      </c>
      <c r="D6" s="25">
        <f>Mensuel!E62</f>
        <v>15202200</v>
      </c>
      <c r="E6" s="25">
        <f t="shared" ref="E6:E14" si="0">SUM(B6:D6)</f>
        <v>45446375</v>
      </c>
    </row>
    <row r="7" spans="1:5" x14ac:dyDescent="0.3">
      <c r="A7" s="6" t="s">
        <v>398</v>
      </c>
      <c r="B7" s="22">
        <f>-Mensuel!C39</f>
        <v>-8957111</v>
      </c>
      <c r="C7" s="22">
        <f>-Mensuel!D39</f>
        <v>-10161250</v>
      </c>
      <c r="D7" s="22">
        <f>-Mensuel!E39</f>
        <v>-10784250</v>
      </c>
      <c r="E7" s="22">
        <f t="shared" si="0"/>
        <v>-29902611</v>
      </c>
    </row>
    <row r="8" spans="1:5" x14ac:dyDescent="0.3">
      <c r="A8" s="6" t="s">
        <v>399</v>
      </c>
      <c r="B8" s="22">
        <f>-Mensuel!C52</f>
        <v>-1159000</v>
      </c>
      <c r="C8" s="22">
        <f>-Mensuel!D52</f>
        <v>-164000</v>
      </c>
      <c r="D8" s="22">
        <f>-Mensuel!E52</f>
        <v>0</v>
      </c>
      <c r="E8" s="22">
        <f t="shared" si="0"/>
        <v>-1323000</v>
      </c>
    </row>
    <row r="9" spans="1:5" x14ac:dyDescent="0.3">
      <c r="A9" s="10" t="s">
        <v>400</v>
      </c>
      <c r="B9" s="24">
        <f>B6+B7+B8</f>
        <v>4145864</v>
      </c>
      <c r="C9" s="24">
        <f>C6+C7+C8</f>
        <v>5656950</v>
      </c>
      <c r="D9" s="24">
        <f>D6+D7+D8</f>
        <v>4417950</v>
      </c>
      <c r="E9" s="24">
        <f t="shared" si="0"/>
        <v>14220764</v>
      </c>
    </row>
    <row r="10" spans="1:5" x14ac:dyDescent="0.3">
      <c r="A10" s="6" t="s">
        <v>401</v>
      </c>
      <c r="B10" s="22">
        <f>-Mensuel!C73</f>
        <v>-3483333.333333334</v>
      </c>
      <c r="C10" s="22">
        <f>-Mensuel!D73</f>
        <v>-1108333.3333333333</v>
      </c>
      <c r="D10" s="22">
        <f>-Mensuel!E73</f>
        <v>-333333.33333333326</v>
      </c>
      <c r="E10" s="22">
        <f t="shared" si="0"/>
        <v>-4925000</v>
      </c>
    </row>
    <row r="11" spans="1:5" x14ac:dyDescent="0.3">
      <c r="A11" s="6" t="s">
        <v>369</v>
      </c>
      <c r="B11" s="22">
        <f>-(Mensuel!B74+Mensuel!C74)</f>
        <v>-3050000</v>
      </c>
      <c r="C11" s="22">
        <f>-Mensuel!D74</f>
        <v>0</v>
      </c>
      <c r="D11" s="22">
        <f>-Mensuel!E74</f>
        <v>0</v>
      </c>
      <c r="E11" s="22">
        <f t="shared" si="0"/>
        <v>-3050000</v>
      </c>
    </row>
    <row r="12" spans="1:5" x14ac:dyDescent="0.3">
      <c r="A12" s="10" t="s">
        <v>402</v>
      </c>
      <c r="B12" s="24">
        <f>B9+B10+B11</f>
        <v>-2387469.333333334</v>
      </c>
      <c r="C12" s="24">
        <f>C9+C10+C11</f>
        <v>4548616.666666667</v>
      </c>
      <c r="D12" s="24">
        <f>D9+D10+D11</f>
        <v>4084616.666666667</v>
      </c>
      <c r="E12" s="24">
        <f t="shared" si="0"/>
        <v>6245764</v>
      </c>
    </row>
    <row r="13" spans="1:5" x14ac:dyDescent="0.3">
      <c r="A13" s="6" t="s">
        <v>403</v>
      </c>
      <c r="B13" s="22">
        <f>-IF(1&lt;=Hypothèses!$B$89,0,Hypothèses!$B$88*MAX(0,B12))</f>
        <v>0</v>
      </c>
      <c r="C13" s="22">
        <f>-IF(2&lt;=Hypothèses!$B$89,0,Hypothèses!$B$88*MAX(0,C12+MIN(0,B12)))</f>
        <v>0</v>
      </c>
      <c r="D13" s="22">
        <f>-IF(3&lt;=Hypothèses!$B$89,0,Hypothèses!$B$88*MAX(0,D12+MIN(0,B12+C12)))</f>
        <v>-1225385</v>
      </c>
      <c r="E13" s="22">
        <f t="shared" si="0"/>
        <v>-1225385</v>
      </c>
    </row>
    <row r="14" spans="1:5" x14ac:dyDescent="0.3">
      <c r="A14" s="10" t="s">
        <v>404</v>
      </c>
      <c r="B14" s="24">
        <f>B12+B13</f>
        <v>-2387469.333333334</v>
      </c>
      <c r="C14" s="24">
        <f>C12+C13</f>
        <v>4548616.666666667</v>
      </c>
      <c r="D14" s="24">
        <f>D12+D13</f>
        <v>2859231.666666667</v>
      </c>
      <c r="E14" s="24">
        <f t="shared" si="0"/>
        <v>5020379</v>
      </c>
    </row>
    <row r="16" spans="1:5" x14ac:dyDescent="0.3">
      <c r="A16" s="4" t="s">
        <v>405</v>
      </c>
      <c r="B16" s="4"/>
      <c r="C16" s="4"/>
      <c r="D16" s="4"/>
      <c r="E16" s="4"/>
    </row>
    <row r="17" spans="1:5" x14ac:dyDescent="0.3">
      <c r="A17" s="6" t="s">
        <v>406</v>
      </c>
      <c r="B17" s="22">
        <f>-Mensuel!C75</f>
        <v>-95000</v>
      </c>
      <c r="C17" s="22">
        <f>-Mensuel!D75</f>
        <v>-190000</v>
      </c>
      <c r="D17" s="22">
        <f>-Mensuel!E75</f>
        <v>-190000</v>
      </c>
      <c r="E17" s="22">
        <f>SUM(B17:D17)</f>
        <v>-475000</v>
      </c>
    </row>
    <row r="18" spans="1:5" x14ac:dyDescent="0.3">
      <c r="A18" s="6" t="s">
        <v>407</v>
      </c>
      <c r="B18" s="22">
        <f>-Mensuel!C76</f>
        <v>-600000</v>
      </c>
      <c r="C18" s="22">
        <f>-Mensuel!D76</f>
        <v>-600000</v>
      </c>
      <c r="D18" s="22">
        <f>-Mensuel!E76</f>
        <v>-600000</v>
      </c>
      <c r="E18" s="22">
        <f>SUM(B18:D18)</f>
        <v>-1800000</v>
      </c>
    </row>
    <row r="19" spans="1:5" x14ac:dyDescent="0.3">
      <c r="A19" s="10" t="s">
        <v>408</v>
      </c>
      <c r="B19" s="24">
        <f>B14+B17+B18</f>
        <v>-3082469.333333334</v>
      </c>
      <c r="C19" s="24">
        <f>C14+C17+C18</f>
        <v>3758616.666666667</v>
      </c>
      <c r="D19" s="24">
        <f>D14+D17+D18</f>
        <v>2069231.666666667</v>
      </c>
      <c r="E19" s="24">
        <f>SUM(B19:D19)</f>
        <v>2745379</v>
      </c>
    </row>
    <row r="20" spans="1:5" x14ac:dyDescent="0.3">
      <c r="A20" s="6" t="s">
        <v>409</v>
      </c>
      <c r="B20" s="22">
        <f>B19</f>
        <v>-3082469.333333334</v>
      </c>
      <c r="C20" s="22">
        <f>B20+C19</f>
        <v>676147.33333333302</v>
      </c>
      <c r="D20" s="22">
        <f>C20+D19</f>
        <v>2745379</v>
      </c>
    </row>
    <row r="21" spans="1:5" x14ac:dyDescent="0.3">
      <c r="A21" s="6" t="s">
        <v>410</v>
      </c>
      <c r="B21" s="36">
        <f>IF(B6=0,0,B19/B6)</f>
        <v>-0.21613201070211763</v>
      </c>
      <c r="C21" s="36">
        <f>IF(C6=0,0,C19/C6)</f>
        <v>0.23517517404779487</v>
      </c>
      <c r="D21" s="36">
        <f>IF(D6=0,0,D19/D6)</f>
        <v>0.13611396157573685</v>
      </c>
      <c r="E21" s="36">
        <f>IF(E6=0,0,E19/E6)</f>
        <v>6.0409196553080413E-2</v>
      </c>
    </row>
    <row r="23" spans="1:5" x14ac:dyDescent="0.3">
      <c r="A23" s="4" t="s">
        <v>411</v>
      </c>
      <c r="B23" s="4"/>
      <c r="C23" s="4"/>
      <c r="D23" s="4"/>
      <c r="E23" s="4"/>
    </row>
    <row r="24" spans="1:5" x14ac:dyDescent="0.3">
      <c r="A24" s="6" t="s">
        <v>12</v>
      </c>
      <c r="B24" s="22">
        <f>B14</f>
        <v>-2387469.333333334</v>
      </c>
      <c r="C24" s="22">
        <f>C14</f>
        <v>4548616.666666667</v>
      </c>
      <c r="D24" s="22">
        <f>D14</f>
        <v>2859231.666666667</v>
      </c>
      <c r="E24" s="22">
        <f t="shared" ref="E24:E32" si="1">SUM(B24:D24)</f>
        <v>5020379</v>
      </c>
    </row>
    <row r="25" spans="1:5" x14ac:dyDescent="0.3">
      <c r="A25" s="6" t="s">
        <v>412</v>
      </c>
      <c r="B25" s="22">
        <f>-B10</f>
        <v>3483333.333333334</v>
      </c>
      <c r="C25" s="22">
        <f>-C10</f>
        <v>1108333.3333333333</v>
      </c>
      <c r="D25" s="22">
        <f>-D10</f>
        <v>333333.33333333326</v>
      </c>
      <c r="E25" s="22">
        <f t="shared" si="1"/>
        <v>4925000</v>
      </c>
    </row>
    <row r="26" spans="1:5" x14ac:dyDescent="0.3">
      <c r="A26" s="6" t="s">
        <v>413</v>
      </c>
      <c r="B26" s="22">
        <f>-B13</f>
        <v>0</v>
      </c>
      <c r="C26" s="22">
        <f>-C13</f>
        <v>0</v>
      </c>
      <c r="D26" s="22">
        <f>-D13</f>
        <v>1225385</v>
      </c>
      <c r="E26" s="22">
        <f t="shared" si="1"/>
        <v>1225385</v>
      </c>
    </row>
    <row r="27" spans="1:5" x14ac:dyDescent="0.3">
      <c r="A27" s="6" t="s">
        <v>414</v>
      </c>
      <c r="B27" s="22">
        <f>-(Mensuel!B45+Mensuel!C45)</f>
        <v>-3834583.3333333316</v>
      </c>
      <c r="C27" s="22">
        <f>-Mensuel!D45</f>
        <v>-90416.666666666672</v>
      </c>
      <c r="D27" s="22">
        <f>-Mensuel!E45</f>
        <v>0</v>
      </c>
      <c r="E27" s="22">
        <f t="shared" si="1"/>
        <v>-3924999.9999999981</v>
      </c>
    </row>
    <row r="28" spans="1:5" x14ac:dyDescent="0.3">
      <c r="A28" s="6" t="s">
        <v>415</v>
      </c>
      <c r="B28" s="22">
        <f>-(Mensuel!B17+Mensuel!C17)</f>
        <v>-1000000</v>
      </c>
      <c r="C28" s="22">
        <f>-Mensuel!D17</f>
        <v>0</v>
      </c>
      <c r="D28" s="22">
        <f>-Mensuel!E17</f>
        <v>0</v>
      </c>
      <c r="E28" s="22">
        <f t="shared" si="1"/>
        <v>-1000000</v>
      </c>
    </row>
    <row r="29" spans="1:5" x14ac:dyDescent="0.3">
      <c r="A29" s="6" t="s">
        <v>416</v>
      </c>
      <c r="B29" s="22">
        <f>-(Mensuel!B16+Mensuel!C16)</f>
        <v>-500000</v>
      </c>
      <c r="C29" s="22">
        <f>-Mensuel!D16</f>
        <v>0</v>
      </c>
      <c r="D29" s="22">
        <f>-Mensuel!E16</f>
        <v>0</v>
      </c>
      <c r="E29" s="22">
        <f t="shared" si="1"/>
        <v>-500000</v>
      </c>
    </row>
    <row r="30" spans="1:5" x14ac:dyDescent="0.3">
      <c r="A30" s="10" t="s">
        <v>417</v>
      </c>
      <c r="B30" s="24">
        <f>SUM(B24:B29)</f>
        <v>-4238719.3333333321</v>
      </c>
      <c r="C30" s="24">
        <f>SUM(C24:C29)</f>
        <v>5566533.333333333</v>
      </c>
      <c r="D30" s="24">
        <f>SUM(D24:D29)</f>
        <v>4417950</v>
      </c>
      <c r="E30" s="24">
        <f t="shared" si="1"/>
        <v>5745764.0000000009</v>
      </c>
    </row>
    <row r="31" spans="1:5" x14ac:dyDescent="0.3">
      <c r="A31" s="6" t="s">
        <v>418</v>
      </c>
      <c r="B31" s="22">
        <f>Mensuel!B65+Mensuel!C65</f>
        <v>-4238719.3333333321</v>
      </c>
      <c r="C31" s="22">
        <f>Mensuel!D65</f>
        <v>5566533.333333333</v>
      </c>
      <c r="D31" s="22">
        <f>Mensuel!E65</f>
        <v>4417950</v>
      </c>
      <c r="E31" s="22">
        <f t="shared" si="1"/>
        <v>5745764.0000000009</v>
      </c>
    </row>
    <row r="32" spans="1:5" x14ac:dyDescent="0.3">
      <c r="A32" s="2" t="s">
        <v>419</v>
      </c>
      <c r="B32" s="28">
        <f>ROUND(B30-B31,0)</f>
        <v>0</v>
      </c>
      <c r="C32" s="28">
        <f>ROUND(C30-C31,0)</f>
        <v>0</v>
      </c>
      <c r="D32" s="28">
        <f>ROUND(D30-D31,0)</f>
        <v>0</v>
      </c>
      <c r="E32" s="28">
        <f t="shared" si="1"/>
        <v>0</v>
      </c>
    </row>
    <row r="33" spans="1:4" x14ac:dyDescent="0.3">
      <c r="A33" s="12" t="s">
        <v>420</v>
      </c>
      <c r="B33" s="25">
        <f>Mensuel!C66</f>
        <v>10761280.666666666</v>
      </c>
      <c r="C33" s="25">
        <f>Mensuel!D66</f>
        <v>16327814</v>
      </c>
      <c r="D33" s="25">
        <f>Mensuel!E66</f>
        <v>20745764</v>
      </c>
    </row>
    <row r="34" spans="1:4" x14ac:dyDescent="0.3">
      <c r="A34" s="6" t="s">
        <v>421</v>
      </c>
      <c r="B34" s="22">
        <f>Mensuel!F66</f>
        <v>5845253.5</v>
      </c>
    </row>
    <row r="35" spans="1:4" x14ac:dyDescent="0.3">
      <c r="A35" s="6" t="s">
        <v>45</v>
      </c>
      <c r="B35" s="29">
        <f>Mensuel!F67</f>
        <v>0</v>
      </c>
    </row>
    <row r="37" spans="1:4" x14ac:dyDescent="0.3">
      <c r="A37" s="2" t="s">
        <v>422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5"/>
  <sheetViews>
    <sheetView showGridLines="0" workbookViewId="0">
      <pane xSplit="6" ySplit="4" topLeftCell="G49" activePane="bottomRight" state="frozen"/>
      <selection pane="topRight"/>
      <selection pane="bottomLeft"/>
      <selection pane="bottomRight" activeCell="A49" sqref="A49"/>
    </sheetView>
  </sheetViews>
  <sheetFormatPr baseColWidth="10" defaultColWidth="8.88671875" defaultRowHeight="14.4" x14ac:dyDescent="0.3"/>
  <cols>
    <col min="1" max="1" width="68" style="35" customWidth="1"/>
    <col min="2" max="6" width="15" style="35" customWidth="1"/>
    <col min="7" max="43" width="11" style="35" customWidth="1"/>
  </cols>
  <sheetData>
    <row r="1" spans="1:43" ht="17.399999999999999" customHeight="1" x14ac:dyDescent="0.3">
      <c r="A1" s="1" t="s">
        <v>423</v>
      </c>
    </row>
    <row r="2" spans="1:43" x14ac:dyDescent="0.3">
      <c r="A2" s="2" t="s">
        <v>424</v>
      </c>
    </row>
    <row r="4" spans="1:43" ht="30" customHeight="1" x14ac:dyDescent="0.3">
      <c r="A4" s="21" t="s">
        <v>291</v>
      </c>
      <c r="B4" s="21" t="s">
        <v>157</v>
      </c>
      <c r="C4" s="21" t="s">
        <v>425</v>
      </c>
      <c r="D4" s="21" t="s">
        <v>426</v>
      </c>
      <c r="E4" s="21" t="s">
        <v>427</v>
      </c>
      <c r="F4" s="21" t="s">
        <v>6</v>
      </c>
      <c r="G4" s="30">
        <v>0</v>
      </c>
      <c r="H4" s="30">
        <v>1</v>
      </c>
      <c r="I4" s="30">
        <v>2</v>
      </c>
      <c r="J4" s="30">
        <v>3</v>
      </c>
      <c r="K4" s="30">
        <v>4</v>
      </c>
      <c r="L4" s="30">
        <v>5</v>
      </c>
      <c r="M4" s="30">
        <v>6</v>
      </c>
      <c r="N4" s="30">
        <v>7</v>
      </c>
      <c r="O4" s="30">
        <v>8</v>
      </c>
      <c r="P4" s="30">
        <v>9</v>
      </c>
      <c r="Q4" s="30">
        <v>10</v>
      </c>
      <c r="R4" s="30">
        <v>11</v>
      </c>
      <c r="S4" s="30">
        <v>12</v>
      </c>
      <c r="T4" s="30">
        <v>13</v>
      </c>
      <c r="U4" s="30">
        <v>14</v>
      </c>
      <c r="V4" s="30">
        <v>15</v>
      </c>
      <c r="W4" s="30">
        <v>16</v>
      </c>
      <c r="X4" s="30">
        <v>17</v>
      </c>
      <c r="Y4" s="30">
        <v>18</v>
      </c>
      <c r="Z4" s="30">
        <v>19</v>
      </c>
      <c r="AA4" s="30">
        <v>20</v>
      </c>
      <c r="AB4" s="30">
        <v>21</v>
      </c>
      <c r="AC4" s="30">
        <v>22</v>
      </c>
      <c r="AD4" s="30">
        <v>23</v>
      </c>
      <c r="AE4" s="30">
        <v>24</v>
      </c>
      <c r="AF4" s="30">
        <v>25</v>
      </c>
      <c r="AG4" s="30">
        <v>26</v>
      </c>
      <c r="AH4" s="30">
        <v>27</v>
      </c>
      <c r="AI4" s="30">
        <v>28</v>
      </c>
      <c r="AJ4" s="30">
        <v>29</v>
      </c>
      <c r="AK4" s="30">
        <v>30</v>
      </c>
      <c r="AL4" s="30">
        <v>31</v>
      </c>
      <c r="AM4" s="30">
        <v>32</v>
      </c>
      <c r="AN4" s="30">
        <v>33</v>
      </c>
      <c r="AO4" s="30">
        <v>34</v>
      </c>
      <c r="AP4" s="30">
        <v>35</v>
      </c>
      <c r="AQ4" s="30">
        <v>36</v>
      </c>
    </row>
    <row r="6" spans="1:43" x14ac:dyDescent="0.3">
      <c r="A6" s="4" t="s">
        <v>428</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3" x14ac:dyDescent="0.3">
      <c r="A7" s="6" t="s">
        <v>429</v>
      </c>
      <c r="B7" s="2" t="s">
        <v>430</v>
      </c>
      <c r="G7" s="31">
        <v>0</v>
      </c>
      <c r="H7" s="32">
        <f>Hypothèses!$B$5</f>
        <v>1</v>
      </c>
      <c r="I7" s="31">
        <v>0</v>
      </c>
      <c r="J7" s="31">
        <v>0</v>
      </c>
      <c r="K7" s="31">
        <v>0</v>
      </c>
      <c r="L7" s="31">
        <v>0</v>
      </c>
      <c r="M7" s="31">
        <v>0</v>
      </c>
      <c r="N7" s="31">
        <v>0</v>
      </c>
      <c r="O7" s="31">
        <v>0</v>
      </c>
      <c r="P7" s="31">
        <v>0</v>
      </c>
      <c r="Q7" s="31">
        <v>0</v>
      </c>
      <c r="R7" s="31">
        <v>0</v>
      </c>
      <c r="S7" s="31">
        <v>0</v>
      </c>
      <c r="T7" s="31">
        <v>0</v>
      </c>
      <c r="U7" s="31">
        <v>0</v>
      </c>
      <c r="V7" s="31">
        <v>0</v>
      </c>
      <c r="W7" s="31">
        <v>0</v>
      </c>
      <c r="X7" s="31">
        <v>0</v>
      </c>
      <c r="Y7" s="31">
        <v>0</v>
      </c>
      <c r="Z7" s="31">
        <v>0</v>
      </c>
      <c r="AA7" s="31">
        <v>0</v>
      </c>
      <c r="AB7" s="31">
        <v>0</v>
      </c>
      <c r="AC7" s="31">
        <v>0</v>
      </c>
      <c r="AD7" s="31">
        <v>0</v>
      </c>
      <c r="AE7" s="31">
        <v>0</v>
      </c>
      <c r="AF7" s="31">
        <v>0</v>
      </c>
      <c r="AG7" s="31">
        <v>0</v>
      </c>
      <c r="AH7" s="31">
        <v>0</v>
      </c>
      <c r="AI7" s="31">
        <v>0</v>
      </c>
      <c r="AJ7" s="31">
        <v>0</v>
      </c>
      <c r="AK7" s="31">
        <v>0</v>
      </c>
      <c r="AL7" s="31">
        <v>0</v>
      </c>
      <c r="AM7" s="31">
        <v>0</v>
      </c>
      <c r="AN7" s="31">
        <v>0</v>
      </c>
      <c r="AO7" s="31">
        <v>0</v>
      </c>
      <c r="AP7" s="31">
        <v>0</v>
      </c>
      <c r="AQ7" s="31">
        <v>0</v>
      </c>
    </row>
    <row r="8" spans="1:43" x14ac:dyDescent="0.3">
      <c r="A8" s="6" t="s">
        <v>431</v>
      </c>
      <c r="G8" s="31">
        <v>0</v>
      </c>
      <c r="H8" s="32">
        <f>Hypothèses!$B$6</f>
        <v>5</v>
      </c>
      <c r="I8" s="31">
        <v>0</v>
      </c>
      <c r="J8" s="31">
        <v>0</v>
      </c>
      <c r="K8" s="31">
        <v>0</v>
      </c>
      <c r="L8" s="31">
        <v>0</v>
      </c>
      <c r="M8" s="31">
        <v>0</v>
      </c>
      <c r="N8" s="31">
        <v>0</v>
      </c>
      <c r="O8" s="31">
        <v>0</v>
      </c>
      <c r="P8" s="31">
        <v>0</v>
      </c>
      <c r="Q8" s="31">
        <v>0</v>
      </c>
      <c r="R8" s="31">
        <v>0</v>
      </c>
      <c r="S8" s="31">
        <v>0</v>
      </c>
      <c r="T8" s="31">
        <v>0</v>
      </c>
      <c r="U8" s="31">
        <v>0</v>
      </c>
      <c r="V8" s="31">
        <v>0</v>
      </c>
      <c r="W8" s="31">
        <v>0</v>
      </c>
      <c r="X8" s="31">
        <v>0</v>
      </c>
      <c r="Y8" s="31">
        <v>0</v>
      </c>
      <c r="Z8" s="31">
        <v>0</v>
      </c>
      <c r="AA8" s="31">
        <v>0</v>
      </c>
      <c r="AB8" s="31">
        <v>0</v>
      </c>
      <c r="AC8" s="31">
        <v>0</v>
      </c>
      <c r="AD8" s="31">
        <v>0</v>
      </c>
      <c r="AE8" s="31">
        <v>0</v>
      </c>
      <c r="AF8" s="31">
        <v>0</v>
      </c>
      <c r="AG8" s="31">
        <v>0</v>
      </c>
      <c r="AH8" s="31">
        <v>0</v>
      </c>
      <c r="AI8" s="31">
        <v>0</v>
      </c>
      <c r="AJ8" s="31">
        <v>0</v>
      </c>
      <c r="AK8" s="31">
        <v>0</v>
      </c>
      <c r="AL8" s="31">
        <v>0</v>
      </c>
      <c r="AM8" s="31">
        <v>0</v>
      </c>
      <c r="AN8" s="31">
        <v>0</v>
      </c>
      <c r="AO8" s="31">
        <v>0</v>
      </c>
      <c r="AP8" s="31">
        <v>0</v>
      </c>
      <c r="AQ8" s="31">
        <v>0</v>
      </c>
    </row>
    <row r="9" spans="1:43" x14ac:dyDescent="0.3">
      <c r="A9" s="6" t="s">
        <v>432</v>
      </c>
      <c r="B9" s="22"/>
      <c r="C9" s="22"/>
      <c r="D9" s="22"/>
      <c r="E9" s="22"/>
      <c r="F9" s="22"/>
      <c r="G9" s="33">
        <f>G7</f>
        <v>0</v>
      </c>
      <c r="H9" s="33">
        <f t="shared" ref="H9:AQ9" si="0">G9+H7</f>
        <v>1</v>
      </c>
      <c r="I9" s="33">
        <f t="shared" si="0"/>
        <v>1</v>
      </c>
      <c r="J9" s="33">
        <f t="shared" si="0"/>
        <v>1</v>
      </c>
      <c r="K9" s="33">
        <f t="shared" si="0"/>
        <v>1</v>
      </c>
      <c r="L9" s="33">
        <f t="shared" si="0"/>
        <v>1</v>
      </c>
      <c r="M9" s="33">
        <f t="shared" si="0"/>
        <v>1</v>
      </c>
      <c r="N9" s="33">
        <f t="shared" si="0"/>
        <v>1</v>
      </c>
      <c r="O9" s="33">
        <f t="shared" si="0"/>
        <v>1</v>
      </c>
      <c r="P9" s="33">
        <f t="shared" si="0"/>
        <v>1</v>
      </c>
      <c r="Q9" s="33">
        <f t="shared" si="0"/>
        <v>1</v>
      </c>
      <c r="R9" s="33">
        <f t="shared" si="0"/>
        <v>1</v>
      </c>
      <c r="S9" s="33">
        <f t="shared" si="0"/>
        <v>1</v>
      </c>
      <c r="T9" s="33">
        <f t="shared" si="0"/>
        <v>1</v>
      </c>
      <c r="U9" s="33">
        <f t="shared" si="0"/>
        <v>1</v>
      </c>
      <c r="V9" s="33">
        <f t="shared" si="0"/>
        <v>1</v>
      </c>
      <c r="W9" s="33">
        <f t="shared" si="0"/>
        <v>1</v>
      </c>
      <c r="X9" s="33">
        <f t="shared" si="0"/>
        <v>1</v>
      </c>
      <c r="Y9" s="33">
        <f t="shared" si="0"/>
        <v>1</v>
      </c>
      <c r="Z9" s="33">
        <f t="shared" si="0"/>
        <v>1</v>
      </c>
      <c r="AA9" s="33">
        <f t="shared" si="0"/>
        <v>1</v>
      </c>
      <c r="AB9" s="33">
        <f t="shared" si="0"/>
        <v>1</v>
      </c>
      <c r="AC9" s="33">
        <f t="shared" si="0"/>
        <v>1</v>
      </c>
      <c r="AD9" s="33">
        <f t="shared" si="0"/>
        <v>1</v>
      </c>
      <c r="AE9" s="33">
        <f t="shared" si="0"/>
        <v>1</v>
      </c>
      <c r="AF9" s="33">
        <f t="shared" si="0"/>
        <v>1</v>
      </c>
      <c r="AG9" s="33">
        <f t="shared" si="0"/>
        <v>1</v>
      </c>
      <c r="AH9" s="33">
        <f t="shared" si="0"/>
        <v>1</v>
      </c>
      <c r="AI9" s="33">
        <f t="shared" si="0"/>
        <v>1</v>
      </c>
      <c r="AJ9" s="33">
        <f t="shared" si="0"/>
        <v>1</v>
      </c>
      <c r="AK9" s="33">
        <f t="shared" si="0"/>
        <v>1</v>
      </c>
      <c r="AL9" s="33">
        <f t="shared" si="0"/>
        <v>1</v>
      </c>
      <c r="AM9" s="33">
        <f t="shared" si="0"/>
        <v>1</v>
      </c>
      <c r="AN9" s="33">
        <f t="shared" si="0"/>
        <v>1</v>
      </c>
      <c r="AO9" s="33">
        <f t="shared" si="0"/>
        <v>1</v>
      </c>
      <c r="AP9" s="33">
        <f t="shared" si="0"/>
        <v>1</v>
      </c>
      <c r="AQ9" s="33">
        <f t="shared" si="0"/>
        <v>1</v>
      </c>
    </row>
    <row r="10" spans="1:43" x14ac:dyDescent="0.3">
      <c r="A10" s="6" t="s">
        <v>433</v>
      </c>
      <c r="B10" s="22"/>
      <c r="C10" s="22"/>
      <c r="D10" s="22"/>
      <c r="E10" s="22"/>
      <c r="F10" s="22"/>
      <c r="G10" s="33">
        <f>G8</f>
        <v>0</v>
      </c>
      <c r="H10" s="33">
        <f t="shared" ref="H10:AQ10" si="1">G10+H8</f>
        <v>5</v>
      </c>
      <c r="I10" s="33">
        <f t="shared" si="1"/>
        <v>5</v>
      </c>
      <c r="J10" s="33">
        <f t="shared" si="1"/>
        <v>5</v>
      </c>
      <c r="K10" s="33">
        <f t="shared" si="1"/>
        <v>5</v>
      </c>
      <c r="L10" s="33">
        <f t="shared" si="1"/>
        <v>5</v>
      </c>
      <c r="M10" s="33">
        <f t="shared" si="1"/>
        <v>5</v>
      </c>
      <c r="N10" s="33">
        <f t="shared" si="1"/>
        <v>5</v>
      </c>
      <c r="O10" s="33">
        <f t="shared" si="1"/>
        <v>5</v>
      </c>
      <c r="P10" s="33">
        <f t="shared" si="1"/>
        <v>5</v>
      </c>
      <c r="Q10" s="33">
        <f t="shared" si="1"/>
        <v>5</v>
      </c>
      <c r="R10" s="33">
        <f t="shared" si="1"/>
        <v>5</v>
      </c>
      <c r="S10" s="33">
        <f t="shared" si="1"/>
        <v>5</v>
      </c>
      <c r="T10" s="33">
        <f t="shared" si="1"/>
        <v>5</v>
      </c>
      <c r="U10" s="33">
        <f t="shared" si="1"/>
        <v>5</v>
      </c>
      <c r="V10" s="33">
        <f t="shared" si="1"/>
        <v>5</v>
      </c>
      <c r="W10" s="33">
        <f t="shared" si="1"/>
        <v>5</v>
      </c>
      <c r="X10" s="33">
        <f t="shared" si="1"/>
        <v>5</v>
      </c>
      <c r="Y10" s="33">
        <f t="shared" si="1"/>
        <v>5</v>
      </c>
      <c r="Z10" s="33">
        <f t="shared" si="1"/>
        <v>5</v>
      </c>
      <c r="AA10" s="33">
        <f t="shared" si="1"/>
        <v>5</v>
      </c>
      <c r="AB10" s="33">
        <f t="shared" si="1"/>
        <v>5</v>
      </c>
      <c r="AC10" s="33">
        <f t="shared" si="1"/>
        <v>5</v>
      </c>
      <c r="AD10" s="33">
        <f t="shared" si="1"/>
        <v>5</v>
      </c>
      <c r="AE10" s="33">
        <f t="shared" si="1"/>
        <v>5</v>
      </c>
      <c r="AF10" s="33">
        <f t="shared" si="1"/>
        <v>5</v>
      </c>
      <c r="AG10" s="33">
        <f t="shared" si="1"/>
        <v>5</v>
      </c>
      <c r="AH10" s="33">
        <f t="shared" si="1"/>
        <v>5</v>
      </c>
      <c r="AI10" s="33">
        <f t="shared" si="1"/>
        <v>5</v>
      </c>
      <c r="AJ10" s="33">
        <f t="shared" si="1"/>
        <v>5</v>
      </c>
      <c r="AK10" s="33">
        <f t="shared" si="1"/>
        <v>5</v>
      </c>
      <c r="AL10" s="33">
        <f t="shared" si="1"/>
        <v>5</v>
      </c>
      <c r="AM10" s="33">
        <f t="shared" si="1"/>
        <v>5</v>
      </c>
      <c r="AN10" s="33">
        <f t="shared" si="1"/>
        <v>5</v>
      </c>
      <c r="AO10" s="33">
        <f t="shared" si="1"/>
        <v>5</v>
      </c>
      <c r="AP10" s="33">
        <f t="shared" si="1"/>
        <v>5</v>
      </c>
      <c r="AQ10" s="33">
        <f t="shared" si="1"/>
        <v>5</v>
      </c>
    </row>
    <row r="12" spans="1:43" x14ac:dyDescent="0.3">
      <c r="A12" s="4" t="s">
        <v>355</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spans="1:43" x14ac:dyDescent="0.3">
      <c r="A13" s="6" t="s">
        <v>158</v>
      </c>
      <c r="B13" s="22">
        <f t="shared" ref="B13:B20" si="2">G13</f>
        <v>1500000</v>
      </c>
      <c r="C13" s="22">
        <f t="shared" ref="C13:C20" si="3">SUM(H13:S13)</f>
        <v>0</v>
      </c>
      <c r="D13" s="22">
        <f t="shared" ref="D13:D20" si="4">SUM(T13:AE13)</f>
        <v>0</v>
      </c>
      <c r="E13" s="22">
        <f t="shared" ref="E13:E20" si="5">SUM(AF13:AQ13)</f>
        <v>0</v>
      </c>
      <c r="F13" s="22">
        <f t="shared" ref="F13:F20" si="6">SUM(B13:E13)</f>
        <v>1500000</v>
      </c>
      <c r="G13" s="7">
        <f>Hypothèses!$B$22</f>
        <v>1500000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row>
    <row r="14" spans="1:43" x14ac:dyDescent="0.3">
      <c r="A14" s="6" t="s">
        <v>160</v>
      </c>
      <c r="B14" s="22">
        <f t="shared" si="2"/>
        <v>300000</v>
      </c>
      <c r="C14" s="22">
        <f t="shared" si="3"/>
        <v>0</v>
      </c>
      <c r="D14" s="22">
        <f t="shared" si="4"/>
        <v>0</v>
      </c>
      <c r="E14" s="22">
        <f t="shared" si="5"/>
        <v>0</v>
      </c>
      <c r="F14" s="22">
        <f t="shared" si="6"/>
        <v>300000</v>
      </c>
      <c r="G14" s="7">
        <f>Hypothèses!$B$23</f>
        <v>300000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row>
    <row r="15" spans="1:43" x14ac:dyDescent="0.3">
      <c r="A15" s="6" t="s">
        <v>161</v>
      </c>
      <c r="B15" s="22">
        <f t="shared" si="2"/>
        <v>100000</v>
      </c>
      <c r="C15" s="22">
        <f t="shared" si="3"/>
        <v>0</v>
      </c>
      <c r="D15" s="22">
        <f t="shared" si="4"/>
        <v>0</v>
      </c>
      <c r="E15" s="22">
        <f t="shared" si="5"/>
        <v>0</v>
      </c>
      <c r="F15" s="22">
        <f t="shared" si="6"/>
        <v>100000</v>
      </c>
      <c r="G15" s="7">
        <f>Hypothèses!$B$24</f>
        <v>100000</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row>
    <row r="16" spans="1:43" x14ac:dyDescent="0.3">
      <c r="A16" s="6" t="s">
        <v>162</v>
      </c>
      <c r="B16" s="22">
        <f t="shared" si="2"/>
        <v>500000</v>
      </c>
      <c r="C16" s="22">
        <f t="shared" si="3"/>
        <v>0</v>
      </c>
      <c r="D16" s="22">
        <f t="shared" si="4"/>
        <v>0</v>
      </c>
      <c r="E16" s="22">
        <f t="shared" si="5"/>
        <v>0</v>
      </c>
      <c r="F16" s="22">
        <f t="shared" si="6"/>
        <v>500000</v>
      </c>
      <c r="G16" s="7">
        <f>Hypothèses!$B$25</f>
        <v>500000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row>
    <row r="17" spans="1:43" x14ac:dyDescent="0.3">
      <c r="A17" s="6" t="s">
        <v>163</v>
      </c>
      <c r="B17" s="22">
        <f t="shared" si="2"/>
        <v>1000000</v>
      </c>
      <c r="C17" s="22">
        <f t="shared" si="3"/>
        <v>0</v>
      </c>
      <c r="D17" s="22">
        <f t="shared" si="4"/>
        <v>0</v>
      </c>
      <c r="E17" s="22">
        <f t="shared" si="5"/>
        <v>0</v>
      </c>
      <c r="F17" s="22">
        <f t="shared" si="6"/>
        <v>1000000</v>
      </c>
      <c r="G17" s="7">
        <f>Hypothèses!$B$26</f>
        <v>1000000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row>
    <row r="18" spans="1:43" x14ac:dyDescent="0.3">
      <c r="A18" s="6" t="s">
        <v>164</v>
      </c>
      <c r="B18" s="22">
        <f t="shared" si="2"/>
        <v>1000000</v>
      </c>
      <c r="C18" s="22">
        <f t="shared" si="3"/>
        <v>0</v>
      </c>
      <c r="D18" s="22">
        <f t="shared" si="4"/>
        <v>0</v>
      </c>
      <c r="E18" s="22">
        <f t="shared" si="5"/>
        <v>0</v>
      </c>
      <c r="F18" s="22">
        <f t="shared" si="6"/>
        <v>1000000</v>
      </c>
      <c r="G18" s="7">
        <f>Hypothèses!$B$27</f>
        <v>1000000</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row>
    <row r="19" spans="1:43" x14ac:dyDescent="0.3">
      <c r="A19" s="6" t="s">
        <v>165</v>
      </c>
      <c r="B19" s="22">
        <f t="shared" si="2"/>
        <v>150000</v>
      </c>
      <c r="C19" s="22">
        <f t="shared" si="3"/>
        <v>0</v>
      </c>
      <c r="D19" s="22">
        <f t="shared" si="4"/>
        <v>0</v>
      </c>
      <c r="E19" s="22">
        <f t="shared" si="5"/>
        <v>0</v>
      </c>
      <c r="F19" s="22">
        <f t="shared" si="6"/>
        <v>150000</v>
      </c>
      <c r="G19" s="7">
        <f>Hypothèses!$B$28</f>
        <v>150000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row>
    <row r="20" spans="1:43" x14ac:dyDescent="0.3">
      <c r="A20" s="8" t="s">
        <v>356</v>
      </c>
      <c r="B20" s="23">
        <f t="shared" si="2"/>
        <v>4550000</v>
      </c>
      <c r="C20" s="23">
        <f t="shared" si="3"/>
        <v>0</v>
      </c>
      <c r="D20" s="23">
        <f t="shared" si="4"/>
        <v>0</v>
      </c>
      <c r="E20" s="23">
        <f t="shared" si="5"/>
        <v>0</v>
      </c>
      <c r="F20" s="23">
        <f t="shared" si="6"/>
        <v>4550000</v>
      </c>
      <c r="G20" s="23">
        <f t="shared" ref="G20:AQ20" si="7">SUM(G13:G19)</f>
        <v>4550000</v>
      </c>
      <c r="H20" s="23">
        <f t="shared" si="7"/>
        <v>0</v>
      </c>
      <c r="I20" s="23">
        <f t="shared" si="7"/>
        <v>0</v>
      </c>
      <c r="J20" s="23">
        <f t="shared" si="7"/>
        <v>0</v>
      </c>
      <c r="K20" s="23">
        <f t="shared" si="7"/>
        <v>0</v>
      </c>
      <c r="L20" s="23">
        <f t="shared" si="7"/>
        <v>0</v>
      </c>
      <c r="M20" s="23">
        <f t="shared" si="7"/>
        <v>0</v>
      </c>
      <c r="N20" s="23">
        <f t="shared" si="7"/>
        <v>0</v>
      </c>
      <c r="O20" s="23">
        <f t="shared" si="7"/>
        <v>0</v>
      </c>
      <c r="P20" s="23">
        <f t="shared" si="7"/>
        <v>0</v>
      </c>
      <c r="Q20" s="23">
        <f t="shared" si="7"/>
        <v>0</v>
      </c>
      <c r="R20" s="23">
        <f t="shared" si="7"/>
        <v>0</v>
      </c>
      <c r="S20" s="23">
        <f t="shared" si="7"/>
        <v>0</v>
      </c>
      <c r="T20" s="23">
        <f t="shared" si="7"/>
        <v>0</v>
      </c>
      <c r="U20" s="23">
        <f t="shared" si="7"/>
        <v>0</v>
      </c>
      <c r="V20" s="23">
        <f t="shared" si="7"/>
        <v>0</v>
      </c>
      <c r="W20" s="23">
        <f t="shared" si="7"/>
        <v>0</v>
      </c>
      <c r="X20" s="23">
        <f t="shared" si="7"/>
        <v>0</v>
      </c>
      <c r="Y20" s="23">
        <f t="shared" si="7"/>
        <v>0</v>
      </c>
      <c r="Z20" s="23">
        <f t="shared" si="7"/>
        <v>0</v>
      </c>
      <c r="AA20" s="23">
        <f t="shared" si="7"/>
        <v>0</v>
      </c>
      <c r="AB20" s="23">
        <f t="shared" si="7"/>
        <v>0</v>
      </c>
      <c r="AC20" s="23">
        <f t="shared" si="7"/>
        <v>0</v>
      </c>
      <c r="AD20" s="23">
        <f t="shared" si="7"/>
        <v>0</v>
      </c>
      <c r="AE20" s="23">
        <f t="shared" si="7"/>
        <v>0</v>
      </c>
      <c r="AF20" s="23">
        <f t="shared" si="7"/>
        <v>0</v>
      </c>
      <c r="AG20" s="23">
        <f t="shared" si="7"/>
        <v>0</v>
      </c>
      <c r="AH20" s="23">
        <f t="shared" si="7"/>
        <v>0</v>
      </c>
      <c r="AI20" s="23">
        <f t="shared" si="7"/>
        <v>0</v>
      </c>
      <c r="AJ20" s="23">
        <f t="shared" si="7"/>
        <v>0</v>
      </c>
      <c r="AK20" s="23">
        <f t="shared" si="7"/>
        <v>0</v>
      </c>
      <c r="AL20" s="23">
        <f t="shared" si="7"/>
        <v>0</v>
      </c>
      <c r="AM20" s="23">
        <f t="shared" si="7"/>
        <v>0</v>
      </c>
      <c r="AN20" s="23">
        <f t="shared" si="7"/>
        <v>0</v>
      </c>
      <c r="AO20" s="23">
        <f t="shared" si="7"/>
        <v>0</v>
      </c>
      <c r="AP20" s="23">
        <f t="shared" si="7"/>
        <v>0</v>
      </c>
      <c r="AQ20" s="23">
        <f t="shared" si="7"/>
        <v>0</v>
      </c>
    </row>
    <row r="22" spans="1:43" x14ac:dyDescent="0.3">
      <c r="A22" s="4" t="s">
        <v>357</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spans="1:43" x14ac:dyDescent="0.3">
      <c r="A23" s="6" t="s">
        <v>167</v>
      </c>
      <c r="B23" s="22">
        <f t="shared" ref="B23:B39" si="8">G23</f>
        <v>0</v>
      </c>
      <c r="C23" s="22">
        <f t="shared" ref="C23:C39" si="9">SUM(H23:S23)</f>
        <v>1200000</v>
      </c>
      <c r="D23" s="22">
        <f t="shared" ref="D23:D39" si="10">SUM(T23:AE23)</f>
        <v>1200000</v>
      </c>
      <c r="E23" s="22">
        <f t="shared" ref="E23:E39" si="11">SUM(AF23:AQ23)</f>
        <v>1200000</v>
      </c>
      <c r="F23" s="22">
        <f t="shared" ref="F23:F39" si="12">SUM(B23:E23)</f>
        <v>3600000</v>
      </c>
      <c r="G23" s="22">
        <v>0</v>
      </c>
      <c r="H23" s="22">
        <f>Hypothèses!$B$31</f>
        <v>100000</v>
      </c>
      <c r="I23" s="22">
        <f>Hypothèses!$B$31</f>
        <v>100000</v>
      </c>
      <c r="J23" s="22">
        <f>Hypothèses!$B$31</f>
        <v>100000</v>
      </c>
      <c r="K23" s="22">
        <f>Hypothèses!$B$31</f>
        <v>100000</v>
      </c>
      <c r="L23" s="22">
        <f>Hypothèses!$B$31</f>
        <v>100000</v>
      </c>
      <c r="M23" s="22">
        <f>Hypothèses!$B$31</f>
        <v>100000</v>
      </c>
      <c r="N23" s="22">
        <f>Hypothèses!$B$31</f>
        <v>100000</v>
      </c>
      <c r="O23" s="22">
        <f>Hypothèses!$B$31</f>
        <v>100000</v>
      </c>
      <c r="P23" s="22">
        <f>Hypothèses!$B$31</f>
        <v>100000</v>
      </c>
      <c r="Q23" s="22">
        <f>Hypothèses!$B$31</f>
        <v>100000</v>
      </c>
      <c r="R23" s="22">
        <f>Hypothèses!$B$31</f>
        <v>100000</v>
      </c>
      <c r="S23" s="22">
        <f>Hypothèses!$B$31</f>
        <v>100000</v>
      </c>
      <c r="T23" s="22">
        <f>Hypothèses!$B$31</f>
        <v>100000</v>
      </c>
      <c r="U23" s="22">
        <f>Hypothèses!$B$31</f>
        <v>100000</v>
      </c>
      <c r="V23" s="22">
        <f>Hypothèses!$B$31</f>
        <v>100000</v>
      </c>
      <c r="W23" s="22">
        <f>Hypothèses!$B$31</f>
        <v>100000</v>
      </c>
      <c r="X23" s="22">
        <f>Hypothèses!$B$31</f>
        <v>100000</v>
      </c>
      <c r="Y23" s="22">
        <f>Hypothèses!$B$31</f>
        <v>100000</v>
      </c>
      <c r="Z23" s="22">
        <f>Hypothèses!$B$31</f>
        <v>100000</v>
      </c>
      <c r="AA23" s="22">
        <f>Hypothèses!$B$31</f>
        <v>100000</v>
      </c>
      <c r="AB23" s="22">
        <f>Hypothèses!$B$31</f>
        <v>100000</v>
      </c>
      <c r="AC23" s="22">
        <f>Hypothèses!$B$31</f>
        <v>100000</v>
      </c>
      <c r="AD23" s="22">
        <f>Hypothèses!$B$31</f>
        <v>100000</v>
      </c>
      <c r="AE23" s="22">
        <f>Hypothèses!$B$31</f>
        <v>100000</v>
      </c>
      <c r="AF23" s="22">
        <f>Hypothèses!$B$31</f>
        <v>100000</v>
      </c>
      <c r="AG23" s="22">
        <f>Hypothèses!$B$31</f>
        <v>100000</v>
      </c>
      <c r="AH23" s="22">
        <f>Hypothèses!$B$31</f>
        <v>100000</v>
      </c>
      <c r="AI23" s="22">
        <f>Hypothèses!$B$31</f>
        <v>100000</v>
      </c>
      <c r="AJ23" s="22">
        <f>Hypothèses!$B$31</f>
        <v>100000</v>
      </c>
      <c r="AK23" s="22">
        <f>Hypothèses!$B$31</f>
        <v>100000</v>
      </c>
      <c r="AL23" s="22">
        <f>Hypothèses!$B$31</f>
        <v>100000</v>
      </c>
      <c r="AM23" s="22">
        <f>Hypothèses!$B$31</f>
        <v>100000</v>
      </c>
      <c r="AN23" s="22">
        <f>Hypothèses!$B$31</f>
        <v>100000</v>
      </c>
      <c r="AO23" s="22">
        <f>Hypothèses!$B$31</f>
        <v>100000</v>
      </c>
      <c r="AP23" s="22">
        <f>Hypothèses!$B$31</f>
        <v>100000</v>
      </c>
      <c r="AQ23" s="22">
        <f>Hypothèses!$B$31</f>
        <v>100000</v>
      </c>
    </row>
    <row r="24" spans="1:43" x14ac:dyDescent="0.3">
      <c r="A24" s="6" t="s">
        <v>169</v>
      </c>
      <c r="B24" s="22">
        <f t="shared" si="8"/>
        <v>0</v>
      </c>
      <c r="C24" s="22">
        <f t="shared" si="9"/>
        <v>900000</v>
      </c>
      <c r="D24" s="22">
        <f t="shared" si="10"/>
        <v>900000</v>
      </c>
      <c r="E24" s="22">
        <f t="shared" si="11"/>
        <v>900000</v>
      </c>
      <c r="F24" s="22">
        <f t="shared" si="12"/>
        <v>2700000</v>
      </c>
      <c r="G24" s="22">
        <v>0</v>
      </c>
      <c r="H24" s="22">
        <f>Hypothèses!$B$32</f>
        <v>75000</v>
      </c>
      <c r="I24" s="22">
        <f>Hypothèses!$B$32</f>
        <v>75000</v>
      </c>
      <c r="J24" s="22">
        <f>Hypothèses!$B$32</f>
        <v>75000</v>
      </c>
      <c r="K24" s="22">
        <f>Hypothèses!$B$32</f>
        <v>75000</v>
      </c>
      <c r="L24" s="22">
        <f>Hypothèses!$B$32</f>
        <v>75000</v>
      </c>
      <c r="M24" s="22">
        <f>Hypothèses!$B$32</f>
        <v>75000</v>
      </c>
      <c r="N24" s="22">
        <f>Hypothèses!$B$32</f>
        <v>75000</v>
      </c>
      <c r="O24" s="22">
        <f>Hypothèses!$B$32</f>
        <v>75000</v>
      </c>
      <c r="P24" s="22">
        <f>Hypothèses!$B$32</f>
        <v>75000</v>
      </c>
      <c r="Q24" s="22">
        <f>Hypothèses!$B$32</f>
        <v>75000</v>
      </c>
      <c r="R24" s="22">
        <f>Hypothèses!$B$32</f>
        <v>75000</v>
      </c>
      <c r="S24" s="22">
        <f>Hypothèses!$B$32</f>
        <v>75000</v>
      </c>
      <c r="T24" s="22">
        <f>Hypothèses!$B$32</f>
        <v>75000</v>
      </c>
      <c r="U24" s="22">
        <f>Hypothèses!$B$32</f>
        <v>75000</v>
      </c>
      <c r="V24" s="22">
        <f>Hypothèses!$B$32</f>
        <v>75000</v>
      </c>
      <c r="W24" s="22">
        <f>Hypothèses!$B$32</f>
        <v>75000</v>
      </c>
      <c r="X24" s="22">
        <f>Hypothèses!$B$32</f>
        <v>75000</v>
      </c>
      <c r="Y24" s="22">
        <f>Hypothèses!$B$32</f>
        <v>75000</v>
      </c>
      <c r="Z24" s="22">
        <f>Hypothèses!$B$32</f>
        <v>75000</v>
      </c>
      <c r="AA24" s="22">
        <f>Hypothèses!$B$32</f>
        <v>75000</v>
      </c>
      <c r="AB24" s="22">
        <f>Hypothèses!$B$32</f>
        <v>75000</v>
      </c>
      <c r="AC24" s="22">
        <f>Hypothèses!$B$32</f>
        <v>75000</v>
      </c>
      <c r="AD24" s="22">
        <f>Hypothèses!$B$32</f>
        <v>75000</v>
      </c>
      <c r="AE24" s="22">
        <f>Hypothèses!$B$32</f>
        <v>75000</v>
      </c>
      <c r="AF24" s="22">
        <f>Hypothèses!$B$32</f>
        <v>75000</v>
      </c>
      <c r="AG24" s="22">
        <f>Hypothèses!$B$32</f>
        <v>75000</v>
      </c>
      <c r="AH24" s="22">
        <f>Hypothèses!$B$32</f>
        <v>75000</v>
      </c>
      <c r="AI24" s="22">
        <f>Hypothèses!$B$32</f>
        <v>75000</v>
      </c>
      <c r="AJ24" s="22">
        <f>Hypothèses!$B$32</f>
        <v>75000</v>
      </c>
      <c r="AK24" s="22">
        <f>Hypothèses!$B$32</f>
        <v>75000</v>
      </c>
      <c r="AL24" s="22">
        <f>Hypothèses!$B$32</f>
        <v>75000</v>
      </c>
      <c r="AM24" s="22">
        <f>Hypothèses!$B$32</f>
        <v>75000</v>
      </c>
      <c r="AN24" s="22">
        <f>Hypothèses!$B$32</f>
        <v>75000</v>
      </c>
      <c r="AO24" s="22">
        <f>Hypothèses!$B$32</f>
        <v>75000</v>
      </c>
      <c r="AP24" s="22">
        <f>Hypothèses!$B$32</f>
        <v>75000</v>
      </c>
      <c r="AQ24" s="22">
        <f>Hypothèses!$B$32</f>
        <v>75000</v>
      </c>
    </row>
    <row r="25" spans="1:43" x14ac:dyDescent="0.3">
      <c r="A25" s="6" t="s">
        <v>434</v>
      </c>
      <c r="B25" s="22">
        <f t="shared" si="8"/>
        <v>0</v>
      </c>
      <c r="C25" s="22">
        <f t="shared" si="9"/>
        <v>0</v>
      </c>
      <c r="D25" s="22">
        <f t="shared" si="10"/>
        <v>2400000</v>
      </c>
      <c r="E25" s="22">
        <f t="shared" si="11"/>
        <v>2400000</v>
      </c>
      <c r="F25" s="22">
        <f t="shared" si="12"/>
        <v>4800000</v>
      </c>
      <c r="G25" s="22">
        <v>0</v>
      </c>
      <c r="H25" s="22">
        <f>IF(H$4&gt;=Hypothèses!$B$34,Hypothèses!$B$33,0)</f>
        <v>0</v>
      </c>
      <c r="I25" s="22">
        <f>IF(I$4&gt;=Hypothèses!$B$34,Hypothèses!$B$33,0)</f>
        <v>0</v>
      </c>
      <c r="J25" s="22">
        <f>IF(J$4&gt;=Hypothèses!$B$34,Hypothèses!$B$33,0)</f>
        <v>0</v>
      </c>
      <c r="K25" s="22">
        <f>IF(K$4&gt;=Hypothèses!$B$34,Hypothèses!$B$33,0)</f>
        <v>0</v>
      </c>
      <c r="L25" s="22">
        <f>IF(L$4&gt;=Hypothèses!$B$34,Hypothèses!$B$33,0)</f>
        <v>0</v>
      </c>
      <c r="M25" s="22">
        <f>IF(M$4&gt;=Hypothèses!$B$34,Hypothèses!$B$33,0)</f>
        <v>0</v>
      </c>
      <c r="N25" s="22">
        <f>IF(N$4&gt;=Hypothèses!$B$34,Hypothèses!$B$33,0)</f>
        <v>0</v>
      </c>
      <c r="O25" s="22">
        <f>IF(O$4&gt;=Hypothèses!$B$34,Hypothèses!$B$33,0)</f>
        <v>0</v>
      </c>
      <c r="P25" s="22">
        <f>IF(P$4&gt;=Hypothèses!$B$34,Hypothèses!$B$33,0)</f>
        <v>0</v>
      </c>
      <c r="Q25" s="22">
        <f>IF(Q$4&gt;=Hypothèses!$B$34,Hypothèses!$B$33,0)</f>
        <v>0</v>
      </c>
      <c r="R25" s="22">
        <f>IF(R$4&gt;=Hypothèses!$B$34,Hypothèses!$B$33,0)</f>
        <v>0</v>
      </c>
      <c r="S25" s="22">
        <f>IF(S$4&gt;=Hypothèses!$B$34,Hypothèses!$B$33,0)</f>
        <v>0</v>
      </c>
      <c r="T25" s="22">
        <f>IF(T$4&gt;=Hypothèses!$B$34,Hypothèses!$B$33,0)</f>
        <v>200000</v>
      </c>
      <c r="U25" s="22">
        <f>IF(U$4&gt;=Hypothèses!$B$34,Hypothèses!$B$33,0)</f>
        <v>200000</v>
      </c>
      <c r="V25" s="22">
        <f>IF(V$4&gt;=Hypothèses!$B$34,Hypothèses!$B$33,0)</f>
        <v>200000</v>
      </c>
      <c r="W25" s="22">
        <f>IF(W$4&gt;=Hypothèses!$B$34,Hypothèses!$B$33,0)</f>
        <v>200000</v>
      </c>
      <c r="X25" s="22">
        <f>IF(X$4&gt;=Hypothèses!$B$34,Hypothèses!$B$33,0)</f>
        <v>200000</v>
      </c>
      <c r="Y25" s="22">
        <f>IF(Y$4&gt;=Hypothèses!$B$34,Hypothèses!$B$33,0)</f>
        <v>200000</v>
      </c>
      <c r="Z25" s="22">
        <f>IF(Z$4&gt;=Hypothèses!$B$34,Hypothèses!$B$33,0)</f>
        <v>200000</v>
      </c>
      <c r="AA25" s="22">
        <f>IF(AA$4&gt;=Hypothèses!$B$34,Hypothèses!$B$33,0)</f>
        <v>200000</v>
      </c>
      <c r="AB25" s="22">
        <f>IF(AB$4&gt;=Hypothèses!$B$34,Hypothèses!$B$33,0)</f>
        <v>200000</v>
      </c>
      <c r="AC25" s="22">
        <f>IF(AC$4&gt;=Hypothèses!$B$34,Hypothèses!$B$33,0)</f>
        <v>200000</v>
      </c>
      <c r="AD25" s="22">
        <f>IF(AD$4&gt;=Hypothèses!$B$34,Hypothèses!$B$33,0)</f>
        <v>200000</v>
      </c>
      <c r="AE25" s="22">
        <f>IF(AE$4&gt;=Hypothèses!$B$34,Hypothèses!$B$33,0)</f>
        <v>200000</v>
      </c>
      <c r="AF25" s="22">
        <f>IF(AF$4&gt;=Hypothèses!$B$34,Hypothèses!$B$33,0)</f>
        <v>200000</v>
      </c>
      <c r="AG25" s="22">
        <f>IF(AG$4&gt;=Hypothèses!$B$34,Hypothèses!$B$33,0)</f>
        <v>200000</v>
      </c>
      <c r="AH25" s="22">
        <f>IF(AH$4&gt;=Hypothèses!$B$34,Hypothèses!$B$33,0)</f>
        <v>200000</v>
      </c>
      <c r="AI25" s="22">
        <f>IF(AI$4&gt;=Hypothèses!$B$34,Hypothèses!$B$33,0)</f>
        <v>200000</v>
      </c>
      <c r="AJ25" s="22">
        <f>IF(AJ$4&gt;=Hypothèses!$B$34,Hypothèses!$B$33,0)</f>
        <v>200000</v>
      </c>
      <c r="AK25" s="22">
        <f>IF(AK$4&gt;=Hypothèses!$B$34,Hypothèses!$B$33,0)</f>
        <v>200000</v>
      </c>
      <c r="AL25" s="22">
        <f>IF(AL$4&gt;=Hypothèses!$B$34,Hypothèses!$B$33,0)</f>
        <v>200000</v>
      </c>
      <c r="AM25" s="22">
        <f>IF(AM$4&gt;=Hypothèses!$B$34,Hypothèses!$B$33,0)</f>
        <v>200000</v>
      </c>
      <c r="AN25" s="22">
        <f>IF(AN$4&gt;=Hypothèses!$B$34,Hypothèses!$B$33,0)</f>
        <v>200000</v>
      </c>
      <c r="AO25" s="22">
        <f>IF(AO$4&gt;=Hypothèses!$B$34,Hypothèses!$B$33,0)</f>
        <v>200000</v>
      </c>
      <c r="AP25" s="22">
        <f>IF(AP$4&gt;=Hypothèses!$B$34,Hypothèses!$B$33,0)</f>
        <v>200000</v>
      </c>
      <c r="AQ25" s="22">
        <f>IF(AQ$4&gt;=Hypothèses!$B$34,Hypothèses!$B$33,0)</f>
        <v>200000</v>
      </c>
    </row>
    <row r="26" spans="1:43" x14ac:dyDescent="0.3">
      <c r="A26" s="6" t="s">
        <v>435</v>
      </c>
      <c r="B26" s="22">
        <f t="shared" si="8"/>
        <v>0</v>
      </c>
      <c r="C26" s="22">
        <f t="shared" si="9"/>
        <v>900000</v>
      </c>
      <c r="D26" s="22">
        <f t="shared" si="10"/>
        <v>0</v>
      </c>
      <c r="E26" s="22">
        <f t="shared" si="11"/>
        <v>0</v>
      </c>
      <c r="F26" s="22">
        <f t="shared" si="12"/>
        <v>900000</v>
      </c>
      <c r="G26" s="22">
        <v>0</v>
      </c>
      <c r="H26" s="22">
        <f>IF(H$4&lt;=12,Hypothèses!$B$35,0)</f>
        <v>75000</v>
      </c>
      <c r="I26" s="22">
        <f>IF(I$4&lt;=12,Hypothèses!$B$35,0)</f>
        <v>75000</v>
      </c>
      <c r="J26" s="22">
        <f>IF(J$4&lt;=12,Hypothèses!$B$35,0)</f>
        <v>75000</v>
      </c>
      <c r="K26" s="22">
        <f>IF(K$4&lt;=12,Hypothèses!$B$35,0)</f>
        <v>75000</v>
      </c>
      <c r="L26" s="22">
        <f>IF(L$4&lt;=12,Hypothèses!$B$35,0)</f>
        <v>75000</v>
      </c>
      <c r="M26" s="22">
        <f>IF(M$4&lt;=12,Hypothèses!$B$35,0)</f>
        <v>75000</v>
      </c>
      <c r="N26" s="22">
        <f>IF(N$4&lt;=12,Hypothèses!$B$35,0)</f>
        <v>75000</v>
      </c>
      <c r="O26" s="22">
        <f>IF(O$4&lt;=12,Hypothèses!$B$35,0)</f>
        <v>75000</v>
      </c>
      <c r="P26" s="22">
        <f>IF(P$4&lt;=12,Hypothèses!$B$35,0)</f>
        <v>75000</v>
      </c>
      <c r="Q26" s="22">
        <f>IF(Q$4&lt;=12,Hypothèses!$B$35,0)</f>
        <v>75000</v>
      </c>
      <c r="R26" s="22">
        <f>IF(R$4&lt;=12,Hypothèses!$B$35,0)</f>
        <v>75000</v>
      </c>
      <c r="S26" s="22">
        <f>IF(S$4&lt;=12,Hypothèses!$B$35,0)</f>
        <v>75000</v>
      </c>
      <c r="T26" s="22">
        <f>IF(T$4&lt;=12,Hypothèses!$B$35,0)</f>
        <v>0</v>
      </c>
      <c r="U26" s="22">
        <f>IF(U$4&lt;=12,Hypothèses!$B$35,0)</f>
        <v>0</v>
      </c>
      <c r="V26" s="22">
        <f>IF(V$4&lt;=12,Hypothèses!$B$35,0)</f>
        <v>0</v>
      </c>
      <c r="W26" s="22">
        <f>IF(W$4&lt;=12,Hypothèses!$B$35,0)</f>
        <v>0</v>
      </c>
      <c r="X26" s="22">
        <f>IF(X$4&lt;=12,Hypothèses!$B$35,0)</f>
        <v>0</v>
      </c>
      <c r="Y26" s="22">
        <f>IF(Y$4&lt;=12,Hypothèses!$B$35,0)</f>
        <v>0</v>
      </c>
      <c r="Z26" s="22">
        <f>IF(Z$4&lt;=12,Hypothèses!$B$35,0)</f>
        <v>0</v>
      </c>
      <c r="AA26" s="22">
        <f>IF(AA$4&lt;=12,Hypothèses!$B$35,0)</f>
        <v>0</v>
      </c>
      <c r="AB26" s="22">
        <f>IF(AB$4&lt;=12,Hypothèses!$B$35,0)</f>
        <v>0</v>
      </c>
      <c r="AC26" s="22">
        <f>IF(AC$4&lt;=12,Hypothèses!$B$35,0)</f>
        <v>0</v>
      </c>
      <c r="AD26" s="22">
        <f>IF(AD$4&lt;=12,Hypothèses!$B$35,0)</f>
        <v>0</v>
      </c>
      <c r="AE26" s="22">
        <f>IF(AE$4&lt;=12,Hypothèses!$B$35,0)</f>
        <v>0</v>
      </c>
      <c r="AF26" s="22">
        <f>IF(AF$4&lt;=12,Hypothèses!$B$35,0)</f>
        <v>0</v>
      </c>
      <c r="AG26" s="22">
        <f>IF(AG$4&lt;=12,Hypothèses!$B$35,0)</f>
        <v>0</v>
      </c>
      <c r="AH26" s="22">
        <f>IF(AH$4&lt;=12,Hypothèses!$B$35,0)</f>
        <v>0</v>
      </c>
      <c r="AI26" s="22">
        <f>IF(AI$4&lt;=12,Hypothèses!$B$35,0)</f>
        <v>0</v>
      </c>
      <c r="AJ26" s="22">
        <f>IF(AJ$4&lt;=12,Hypothèses!$B$35,0)</f>
        <v>0</v>
      </c>
      <c r="AK26" s="22">
        <f>IF(AK$4&lt;=12,Hypothèses!$B$35,0)</f>
        <v>0</v>
      </c>
      <c r="AL26" s="22">
        <f>IF(AL$4&lt;=12,Hypothèses!$B$35,0)</f>
        <v>0</v>
      </c>
      <c r="AM26" s="22">
        <f>IF(AM$4&lt;=12,Hypothèses!$B$35,0)</f>
        <v>0</v>
      </c>
      <c r="AN26" s="22">
        <f>IF(AN$4&lt;=12,Hypothèses!$B$35,0)</f>
        <v>0</v>
      </c>
      <c r="AO26" s="22">
        <f>IF(AO$4&lt;=12,Hypothèses!$B$35,0)</f>
        <v>0</v>
      </c>
      <c r="AP26" s="22">
        <f>IF(AP$4&lt;=12,Hypothèses!$B$35,0)</f>
        <v>0</v>
      </c>
      <c r="AQ26" s="22">
        <f>IF(AQ$4&lt;=12,Hypothèses!$B$35,0)</f>
        <v>0</v>
      </c>
    </row>
    <row r="27" spans="1:43" x14ac:dyDescent="0.3">
      <c r="A27" s="6" t="s">
        <v>176</v>
      </c>
      <c r="B27" s="22">
        <f t="shared" si="8"/>
        <v>0</v>
      </c>
      <c r="C27" s="22">
        <f t="shared" si="9"/>
        <v>1200000</v>
      </c>
      <c r="D27" s="22">
        <f t="shared" si="10"/>
        <v>1200000</v>
      </c>
      <c r="E27" s="22">
        <f t="shared" si="11"/>
        <v>1200000</v>
      </c>
      <c r="F27" s="22">
        <f t="shared" si="12"/>
        <v>3600000</v>
      </c>
      <c r="G27" s="22">
        <v>0</v>
      </c>
      <c r="H27" s="22">
        <f>Hypothèses!$B$36</f>
        <v>100000</v>
      </c>
      <c r="I27" s="22">
        <f>Hypothèses!$B$36</f>
        <v>100000</v>
      </c>
      <c r="J27" s="22">
        <f>Hypothèses!$B$36</f>
        <v>100000</v>
      </c>
      <c r="K27" s="22">
        <f>Hypothèses!$B$36</f>
        <v>100000</v>
      </c>
      <c r="L27" s="22">
        <f>Hypothèses!$B$36</f>
        <v>100000</v>
      </c>
      <c r="M27" s="22">
        <f>Hypothèses!$B$36</f>
        <v>100000</v>
      </c>
      <c r="N27" s="22">
        <f>Hypothèses!$B$36</f>
        <v>100000</v>
      </c>
      <c r="O27" s="22">
        <f>Hypothèses!$B$36</f>
        <v>100000</v>
      </c>
      <c r="P27" s="22">
        <f>Hypothèses!$B$36</f>
        <v>100000</v>
      </c>
      <c r="Q27" s="22">
        <f>Hypothèses!$B$36</f>
        <v>100000</v>
      </c>
      <c r="R27" s="22">
        <f>Hypothèses!$B$36</f>
        <v>100000</v>
      </c>
      <c r="S27" s="22">
        <f>Hypothèses!$B$36</f>
        <v>100000</v>
      </c>
      <c r="T27" s="22">
        <f>Hypothèses!$B$36</f>
        <v>100000</v>
      </c>
      <c r="U27" s="22">
        <f>Hypothèses!$B$36</f>
        <v>100000</v>
      </c>
      <c r="V27" s="22">
        <f>Hypothèses!$B$36</f>
        <v>100000</v>
      </c>
      <c r="W27" s="22">
        <f>Hypothèses!$B$36</f>
        <v>100000</v>
      </c>
      <c r="X27" s="22">
        <f>Hypothèses!$B$36</f>
        <v>100000</v>
      </c>
      <c r="Y27" s="22">
        <f>Hypothèses!$B$36</f>
        <v>100000</v>
      </c>
      <c r="Z27" s="22">
        <f>Hypothèses!$B$36</f>
        <v>100000</v>
      </c>
      <c r="AA27" s="22">
        <f>Hypothèses!$B$36</f>
        <v>100000</v>
      </c>
      <c r="AB27" s="22">
        <f>Hypothèses!$B$36</f>
        <v>100000</v>
      </c>
      <c r="AC27" s="22">
        <f>Hypothèses!$B$36</f>
        <v>100000</v>
      </c>
      <c r="AD27" s="22">
        <f>Hypothèses!$B$36</f>
        <v>100000</v>
      </c>
      <c r="AE27" s="22">
        <f>Hypothèses!$B$36</f>
        <v>100000</v>
      </c>
      <c r="AF27" s="22">
        <f>Hypothèses!$B$36</f>
        <v>100000</v>
      </c>
      <c r="AG27" s="22">
        <f>Hypothèses!$B$36</f>
        <v>100000</v>
      </c>
      <c r="AH27" s="22">
        <f>Hypothèses!$B$36</f>
        <v>100000</v>
      </c>
      <c r="AI27" s="22">
        <f>Hypothèses!$B$36</f>
        <v>100000</v>
      </c>
      <c r="AJ27" s="22">
        <f>Hypothèses!$B$36</f>
        <v>100000</v>
      </c>
      <c r="AK27" s="22">
        <f>Hypothèses!$B$36</f>
        <v>100000</v>
      </c>
      <c r="AL27" s="22">
        <f>Hypothèses!$B$36</f>
        <v>100000</v>
      </c>
      <c r="AM27" s="22">
        <f>Hypothèses!$B$36</f>
        <v>100000</v>
      </c>
      <c r="AN27" s="22">
        <f>Hypothèses!$B$36</f>
        <v>100000</v>
      </c>
      <c r="AO27" s="22">
        <f>Hypothèses!$B$36</f>
        <v>100000</v>
      </c>
      <c r="AP27" s="22">
        <f>Hypothèses!$B$36</f>
        <v>100000</v>
      </c>
      <c r="AQ27" s="22">
        <f>Hypothèses!$B$36</f>
        <v>100000</v>
      </c>
    </row>
    <row r="28" spans="1:43" x14ac:dyDescent="0.3">
      <c r="A28" s="6" t="s">
        <v>177</v>
      </c>
      <c r="B28" s="22">
        <f t="shared" si="8"/>
        <v>0</v>
      </c>
      <c r="C28" s="22">
        <f t="shared" si="9"/>
        <v>600000</v>
      </c>
      <c r="D28" s="22">
        <f t="shared" si="10"/>
        <v>600000</v>
      </c>
      <c r="E28" s="22">
        <f t="shared" si="11"/>
        <v>600000</v>
      </c>
      <c r="F28" s="22">
        <f t="shared" si="12"/>
        <v>1800000</v>
      </c>
      <c r="G28" s="22">
        <v>0</v>
      </c>
      <c r="H28" s="22">
        <f>Hypothèses!$B$37</f>
        <v>50000</v>
      </c>
      <c r="I28" s="22">
        <f>Hypothèses!$B$37</f>
        <v>50000</v>
      </c>
      <c r="J28" s="22">
        <f>Hypothèses!$B$37</f>
        <v>50000</v>
      </c>
      <c r="K28" s="22">
        <f>Hypothèses!$B$37</f>
        <v>50000</v>
      </c>
      <c r="L28" s="22">
        <f>Hypothèses!$B$37</f>
        <v>50000</v>
      </c>
      <c r="M28" s="22">
        <f>Hypothèses!$B$37</f>
        <v>50000</v>
      </c>
      <c r="N28" s="22">
        <f>Hypothèses!$B$37</f>
        <v>50000</v>
      </c>
      <c r="O28" s="22">
        <f>Hypothèses!$B$37</f>
        <v>50000</v>
      </c>
      <c r="P28" s="22">
        <f>Hypothèses!$B$37</f>
        <v>50000</v>
      </c>
      <c r="Q28" s="22">
        <f>Hypothèses!$B$37</f>
        <v>50000</v>
      </c>
      <c r="R28" s="22">
        <f>Hypothèses!$B$37</f>
        <v>50000</v>
      </c>
      <c r="S28" s="22">
        <f>Hypothèses!$B$37</f>
        <v>50000</v>
      </c>
      <c r="T28" s="22">
        <f>Hypothèses!$B$37</f>
        <v>50000</v>
      </c>
      <c r="U28" s="22">
        <f>Hypothèses!$B$37</f>
        <v>50000</v>
      </c>
      <c r="V28" s="22">
        <f>Hypothèses!$B$37</f>
        <v>50000</v>
      </c>
      <c r="W28" s="22">
        <f>Hypothèses!$B$37</f>
        <v>50000</v>
      </c>
      <c r="X28" s="22">
        <f>Hypothèses!$B$37</f>
        <v>50000</v>
      </c>
      <c r="Y28" s="22">
        <f>Hypothèses!$B$37</f>
        <v>50000</v>
      </c>
      <c r="Z28" s="22">
        <f>Hypothèses!$B$37</f>
        <v>50000</v>
      </c>
      <c r="AA28" s="22">
        <f>Hypothèses!$B$37</f>
        <v>50000</v>
      </c>
      <c r="AB28" s="22">
        <f>Hypothèses!$B$37</f>
        <v>50000</v>
      </c>
      <c r="AC28" s="22">
        <f>Hypothèses!$B$37</f>
        <v>50000</v>
      </c>
      <c r="AD28" s="22">
        <f>Hypothèses!$B$37</f>
        <v>50000</v>
      </c>
      <c r="AE28" s="22">
        <f>Hypothèses!$B$37</f>
        <v>50000</v>
      </c>
      <c r="AF28" s="22">
        <f>Hypothèses!$B$37</f>
        <v>50000</v>
      </c>
      <c r="AG28" s="22">
        <f>Hypothèses!$B$37</f>
        <v>50000</v>
      </c>
      <c r="AH28" s="22">
        <f>Hypothèses!$B$37</f>
        <v>50000</v>
      </c>
      <c r="AI28" s="22">
        <f>Hypothèses!$B$37</f>
        <v>50000</v>
      </c>
      <c r="AJ28" s="22">
        <f>Hypothèses!$B$37</f>
        <v>50000</v>
      </c>
      <c r="AK28" s="22">
        <f>Hypothèses!$B$37</f>
        <v>50000</v>
      </c>
      <c r="AL28" s="22">
        <f>Hypothèses!$B$37</f>
        <v>50000</v>
      </c>
      <c r="AM28" s="22">
        <f>Hypothèses!$B$37</f>
        <v>50000</v>
      </c>
      <c r="AN28" s="22">
        <f>Hypothèses!$B$37</f>
        <v>50000</v>
      </c>
      <c r="AO28" s="22">
        <f>Hypothèses!$B$37</f>
        <v>50000</v>
      </c>
      <c r="AP28" s="22">
        <f>Hypothèses!$B$37</f>
        <v>50000</v>
      </c>
      <c r="AQ28" s="22">
        <f>Hypothèses!$B$37</f>
        <v>50000</v>
      </c>
    </row>
    <row r="29" spans="1:43" x14ac:dyDescent="0.3">
      <c r="A29" s="6" t="s">
        <v>178</v>
      </c>
      <c r="B29" s="22">
        <f t="shared" si="8"/>
        <v>0</v>
      </c>
      <c r="C29" s="22">
        <f t="shared" si="9"/>
        <v>600000</v>
      </c>
      <c r="D29" s="22">
        <f t="shared" si="10"/>
        <v>600000</v>
      </c>
      <c r="E29" s="22">
        <f t="shared" si="11"/>
        <v>600000</v>
      </c>
      <c r="F29" s="22">
        <f t="shared" si="12"/>
        <v>1800000</v>
      </c>
      <c r="G29" s="22">
        <v>0</v>
      </c>
      <c r="H29" s="22">
        <f>Hypothèses!$B$38</f>
        <v>50000</v>
      </c>
      <c r="I29" s="22">
        <f>Hypothèses!$B$38</f>
        <v>50000</v>
      </c>
      <c r="J29" s="22">
        <f>Hypothèses!$B$38</f>
        <v>50000</v>
      </c>
      <c r="K29" s="22">
        <f>Hypothèses!$B$38</f>
        <v>50000</v>
      </c>
      <c r="L29" s="22">
        <f>Hypothèses!$B$38</f>
        <v>50000</v>
      </c>
      <c r="M29" s="22">
        <f>Hypothèses!$B$38</f>
        <v>50000</v>
      </c>
      <c r="N29" s="22">
        <f>Hypothèses!$B$38</f>
        <v>50000</v>
      </c>
      <c r="O29" s="22">
        <f>Hypothèses!$B$38</f>
        <v>50000</v>
      </c>
      <c r="P29" s="22">
        <f>Hypothèses!$B$38</f>
        <v>50000</v>
      </c>
      <c r="Q29" s="22">
        <f>Hypothèses!$B$38</f>
        <v>50000</v>
      </c>
      <c r="R29" s="22">
        <f>Hypothèses!$B$38</f>
        <v>50000</v>
      </c>
      <c r="S29" s="22">
        <f>Hypothèses!$B$38</f>
        <v>50000</v>
      </c>
      <c r="T29" s="22">
        <f>Hypothèses!$B$38</f>
        <v>50000</v>
      </c>
      <c r="U29" s="22">
        <f>Hypothèses!$B$38</f>
        <v>50000</v>
      </c>
      <c r="V29" s="22">
        <f>Hypothèses!$B$38</f>
        <v>50000</v>
      </c>
      <c r="W29" s="22">
        <f>Hypothèses!$B$38</f>
        <v>50000</v>
      </c>
      <c r="X29" s="22">
        <f>Hypothèses!$B$38</f>
        <v>50000</v>
      </c>
      <c r="Y29" s="22">
        <f>Hypothèses!$B$38</f>
        <v>50000</v>
      </c>
      <c r="Z29" s="22">
        <f>Hypothèses!$B$38</f>
        <v>50000</v>
      </c>
      <c r="AA29" s="22">
        <f>Hypothèses!$B$38</f>
        <v>50000</v>
      </c>
      <c r="AB29" s="22">
        <f>Hypothèses!$B$38</f>
        <v>50000</v>
      </c>
      <c r="AC29" s="22">
        <f>Hypothèses!$B$38</f>
        <v>50000</v>
      </c>
      <c r="AD29" s="22">
        <f>Hypothèses!$B$38</f>
        <v>50000</v>
      </c>
      <c r="AE29" s="22">
        <f>Hypothèses!$B$38</f>
        <v>50000</v>
      </c>
      <c r="AF29" s="22">
        <f>Hypothèses!$B$38</f>
        <v>50000</v>
      </c>
      <c r="AG29" s="22">
        <f>Hypothèses!$B$38</f>
        <v>50000</v>
      </c>
      <c r="AH29" s="22">
        <f>Hypothèses!$B$38</f>
        <v>50000</v>
      </c>
      <c r="AI29" s="22">
        <f>Hypothèses!$B$38</f>
        <v>50000</v>
      </c>
      <c r="AJ29" s="22">
        <f>Hypothèses!$B$38</f>
        <v>50000</v>
      </c>
      <c r="AK29" s="22">
        <f>Hypothèses!$B$38</f>
        <v>50000</v>
      </c>
      <c r="AL29" s="22">
        <f>Hypothèses!$B$38</f>
        <v>50000</v>
      </c>
      <c r="AM29" s="22">
        <f>Hypothèses!$B$38</f>
        <v>50000</v>
      </c>
      <c r="AN29" s="22">
        <f>Hypothèses!$B$38</f>
        <v>50000</v>
      </c>
      <c r="AO29" s="22">
        <f>Hypothèses!$B$38</f>
        <v>50000</v>
      </c>
      <c r="AP29" s="22">
        <f>Hypothèses!$B$38</f>
        <v>50000</v>
      </c>
      <c r="AQ29" s="22">
        <f>Hypothèses!$B$38</f>
        <v>50000</v>
      </c>
    </row>
    <row r="30" spans="1:43" x14ac:dyDescent="0.3">
      <c r="A30" s="6" t="s">
        <v>436</v>
      </c>
      <c r="B30" s="22">
        <f t="shared" si="8"/>
        <v>0</v>
      </c>
      <c r="C30" s="22">
        <f t="shared" si="9"/>
        <v>300000</v>
      </c>
      <c r="D30" s="22">
        <f t="shared" si="10"/>
        <v>300000</v>
      </c>
      <c r="E30" s="22">
        <f t="shared" si="11"/>
        <v>300000</v>
      </c>
      <c r="F30" s="22">
        <f t="shared" si="12"/>
        <v>900000</v>
      </c>
      <c r="G30" s="22">
        <v>0</v>
      </c>
      <c r="H30" s="22">
        <f>IF(MOD(H$4,3)=0,Hypothèses!$B$39,0)</f>
        <v>0</v>
      </c>
      <c r="I30" s="22">
        <f>IF(MOD(I$4,3)=0,Hypothèses!$B$39,0)</f>
        <v>0</v>
      </c>
      <c r="J30" s="22">
        <f>IF(MOD(J$4,3)=0,Hypothèses!$B$39,0)</f>
        <v>75000</v>
      </c>
      <c r="K30" s="22">
        <f>IF(MOD(K$4,3)=0,Hypothèses!$B$39,0)</f>
        <v>0</v>
      </c>
      <c r="L30" s="22">
        <f>IF(MOD(L$4,3)=0,Hypothèses!$B$39,0)</f>
        <v>0</v>
      </c>
      <c r="M30" s="22">
        <f>IF(MOD(M$4,3)=0,Hypothèses!$B$39,0)</f>
        <v>75000</v>
      </c>
      <c r="N30" s="22">
        <f>IF(MOD(N$4,3)=0,Hypothèses!$B$39,0)</f>
        <v>0</v>
      </c>
      <c r="O30" s="22">
        <f>IF(MOD(O$4,3)=0,Hypothèses!$B$39,0)</f>
        <v>0</v>
      </c>
      <c r="P30" s="22">
        <f>IF(MOD(P$4,3)=0,Hypothèses!$B$39,0)</f>
        <v>75000</v>
      </c>
      <c r="Q30" s="22">
        <f>IF(MOD(Q$4,3)=0,Hypothèses!$B$39,0)</f>
        <v>0</v>
      </c>
      <c r="R30" s="22">
        <f>IF(MOD(R$4,3)=0,Hypothèses!$B$39,0)</f>
        <v>0</v>
      </c>
      <c r="S30" s="22">
        <f>IF(MOD(S$4,3)=0,Hypothèses!$B$39,0)</f>
        <v>75000</v>
      </c>
      <c r="T30" s="22">
        <f>IF(MOD(T$4,3)=0,Hypothèses!$B$39,0)</f>
        <v>0</v>
      </c>
      <c r="U30" s="22">
        <f>IF(MOD(U$4,3)=0,Hypothèses!$B$39,0)</f>
        <v>0</v>
      </c>
      <c r="V30" s="22">
        <f>IF(MOD(V$4,3)=0,Hypothèses!$B$39,0)</f>
        <v>75000</v>
      </c>
      <c r="W30" s="22">
        <f>IF(MOD(W$4,3)=0,Hypothèses!$B$39,0)</f>
        <v>0</v>
      </c>
      <c r="X30" s="22">
        <f>IF(MOD(X$4,3)=0,Hypothèses!$B$39,0)</f>
        <v>0</v>
      </c>
      <c r="Y30" s="22">
        <f>IF(MOD(Y$4,3)=0,Hypothèses!$B$39,0)</f>
        <v>75000</v>
      </c>
      <c r="Z30" s="22">
        <f>IF(MOD(Z$4,3)=0,Hypothèses!$B$39,0)</f>
        <v>0</v>
      </c>
      <c r="AA30" s="22">
        <f>IF(MOD(AA$4,3)=0,Hypothèses!$B$39,0)</f>
        <v>0</v>
      </c>
      <c r="AB30" s="22">
        <f>IF(MOD(AB$4,3)=0,Hypothèses!$B$39,0)</f>
        <v>75000</v>
      </c>
      <c r="AC30" s="22">
        <f>IF(MOD(AC$4,3)=0,Hypothèses!$B$39,0)</f>
        <v>0</v>
      </c>
      <c r="AD30" s="22">
        <f>IF(MOD(AD$4,3)=0,Hypothèses!$B$39,0)</f>
        <v>0</v>
      </c>
      <c r="AE30" s="22">
        <f>IF(MOD(AE$4,3)=0,Hypothèses!$B$39,0)</f>
        <v>75000</v>
      </c>
      <c r="AF30" s="22">
        <f>IF(MOD(AF$4,3)=0,Hypothèses!$B$39,0)</f>
        <v>0</v>
      </c>
      <c r="AG30" s="22">
        <f>IF(MOD(AG$4,3)=0,Hypothèses!$B$39,0)</f>
        <v>0</v>
      </c>
      <c r="AH30" s="22">
        <f>IF(MOD(AH$4,3)=0,Hypothèses!$B$39,0)</f>
        <v>75000</v>
      </c>
      <c r="AI30" s="22">
        <f>IF(MOD(AI$4,3)=0,Hypothèses!$B$39,0)</f>
        <v>0</v>
      </c>
      <c r="AJ30" s="22">
        <f>IF(MOD(AJ$4,3)=0,Hypothèses!$B$39,0)</f>
        <v>0</v>
      </c>
      <c r="AK30" s="22">
        <f>IF(MOD(AK$4,3)=0,Hypothèses!$B$39,0)</f>
        <v>75000</v>
      </c>
      <c r="AL30" s="22">
        <f>IF(MOD(AL$4,3)=0,Hypothèses!$B$39,0)</f>
        <v>0</v>
      </c>
      <c r="AM30" s="22">
        <f>IF(MOD(AM$4,3)=0,Hypothèses!$B$39,0)</f>
        <v>0</v>
      </c>
      <c r="AN30" s="22">
        <f>IF(MOD(AN$4,3)=0,Hypothèses!$B$39,0)</f>
        <v>75000</v>
      </c>
      <c r="AO30" s="22">
        <f>IF(MOD(AO$4,3)=0,Hypothèses!$B$39,0)</f>
        <v>0</v>
      </c>
      <c r="AP30" s="22">
        <f>IF(MOD(AP$4,3)=0,Hypothèses!$B$39,0)</f>
        <v>0</v>
      </c>
      <c r="AQ30" s="22">
        <f>IF(MOD(AQ$4,3)=0,Hypothèses!$B$39,0)</f>
        <v>75000</v>
      </c>
    </row>
    <row r="31" spans="1:43" x14ac:dyDescent="0.3">
      <c r="A31" s="6" t="s">
        <v>437</v>
      </c>
      <c r="B31" s="22">
        <f t="shared" si="8"/>
        <v>0</v>
      </c>
      <c r="C31" s="22">
        <f t="shared" si="9"/>
        <v>200000</v>
      </c>
      <c r="D31" s="22">
        <f t="shared" si="10"/>
        <v>200000</v>
      </c>
      <c r="E31" s="22">
        <f t="shared" si="11"/>
        <v>200000</v>
      </c>
      <c r="F31" s="22">
        <f t="shared" si="12"/>
        <v>600000</v>
      </c>
      <c r="G31" s="22">
        <v>0</v>
      </c>
      <c r="H31" s="22">
        <f>IF(MOD(H$4,3)=0,Hypothèses!$B$40,0)</f>
        <v>0</v>
      </c>
      <c r="I31" s="22">
        <f>IF(MOD(I$4,3)=0,Hypothèses!$B$40,0)</f>
        <v>0</v>
      </c>
      <c r="J31" s="22">
        <f>IF(MOD(J$4,3)=0,Hypothèses!$B$40,0)</f>
        <v>50000</v>
      </c>
      <c r="K31" s="22">
        <f>IF(MOD(K$4,3)=0,Hypothèses!$B$40,0)</f>
        <v>0</v>
      </c>
      <c r="L31" s="22">
        <f>IF(MOD(L$4,3)=0,Hypothèses!$B$40,0)</f>
        <v>0</v>
      </c>
      <c r="M31" s="22">
        <f>IF(MOD(M$4,3)=0,Hypothèses!$B$40,0)</f>
        <v>50000</v>
      </c>
      <c r="N31" s="22">
        <f>IF(MOD(N$4,3)=0,Hypothèses!$B$40,0)</f>
        <v>0</v>
      </c>
      <c r="O31" s="22">
        <f>IF(MOD(O$4,3)=0,Hypothèses!$B$40,0)</f>
        <v>0</v>
      </c>
      <c r="P31" s="22">
        <f>IF(MOD(P$4,3)=0,Hypothèses!$B$40,0)</f>
        <v>50000</v>
      </c>
      <c r="Q31" s="22">
        <f>IF(MOD(Q$4,3)=0,Hypothèses!$B$40,0)</f>
        <v>0</v>
      </c>
      <c r="R31" s="22">
        <f>IF(MOD(R$4,3)=0,Hypothèses!$B$40,0)</f>
        <v>0</v>
      </c>
      <c r="S31" s="22">
        <f>IF(MOD(S$4,3)=0,Hypothèses!$B$40,0)</f>
        <v>50000</v>
      </c>
      <c r="T31" s="22">
        <f>IF(MOD(T$4,3)=0,Hypothèses!$B$40,0)</f>
        <v>0</v>
      </c>
      <c r="U31" s="22">
        <f>IF(MOD(U$4,3)=0,Hypothèses!$B$40,0)</f>
        <v>0</v>
      </c>
      <c r="V31" s="22">
        <f>IF(MOD(V$4,3)=0,Hypothèses!$B$40,0)</f>
        <v>50000</v>
      </c>
      <c r="W31" s="22">
        <f>IF(MOD(W$4,3)=0,Hypothèses!$B$40,0)</f>
        <v>0</v>
      </c>
      <c r="X31" s="22">
        <f>IF(MOD(X$4,3)=0,Hypothèses!$B$40,0)</f>
        <v>0</v>
      </c>
      <c r="Y31" s="22">
        <f>IF(MOD(Y$4,3)=0,Hypothèses!$B$40,0)</f>
        <v>50000</v>
      </c>
      <c r="Z31" s="22">
        <f>IF(MOD(Z$4,3)=0,Hypothèses!$B$40,0)</f>
        <v>0</v>
      </c>
      <c r="AA31" s="22">
        <f>IF(MOD(AA$4,3)=0,Hypothèses!$B$40,0)</f>
        <v>0</v>
      </c>
      <c r="AB31" s="22">
        <f>IF(MOD(AB$4,3)=0,Hypothèses!$B$40,0)</f>
        <v>50000</v>
      </c>
      <c r="AC31" s="22">
        <f>IF(MOD(AC$4,3)=0,Hypothèses!$B$40,0)</f>
        <v>0</v>
      </c>
      <c r="AD31" s="22">
        <f>IF(MOD(AD$4,3)=0,Hypothèses!$B$40,0)</f>
        <v>0</v>
      </c>
      <c r="AE31" s="22">
        <f>IF(MOD(AE$4,3)=0,Hypothèses!$B$40,0)</f>
        <v>50000</v>
      </c>
      <c r="AF31" s="22">
        <f>IF(MOD(AF$4,3)=0,Hypothèses!$B$40,0)</f>
        <v>0</v>
      </c>
      <c r="AG31" s="22">
        <f>IF(MOD(AG$4,3)=0,Hypothèses!$B$40,0)</f>
        <v>0</v>
      </c>
      <c r="AH31" s="22">
        <f>IF(MOD(AH$4,3)=0,Hypothèses!$B$40,0)</f>
        <v>50000</v>
      </c>
      <c r="AI31" s="22">
        <f>IF(MOD(AI$4,3)=0,Hypothèses!$B$40,0)</f>
        <v>0</v>
      </c>
      <c r="AJ31" s="22">
        <f>IF(MOD(AJ$4,3)=0,Hypothèses!$B$40,0)</f>
        <v>0</v>
      </c>
      <c r="AK31" s="22">
        <f>IF(MOD(AK$4,3)=0,Hypothèses!$B$40,0)</f>
        <v>50000</v>
      </c>
      <c r="AL31" s="22">
        <f>IF(MOD(AL$4,3)=0,Hypothèses!$B$40,0)</f>
        <v>0</v>
      </c>
      <c r="AM31" s="22">
        <f>IF(MOD(AM$4,3)=0,Hypothèses!$B$40,0)</f>
        <v>0</v>
      </c>
      <c r="AN31" s="22">
        <f>IF(MOD(AN$4,3)=0,Hypothèses!$B$40,0)</f>
        <v>50000</v>
      </c>
      <c r="AO31" s="22">
        <f>IF(MOD(AO$4,3)=0,Hypothèses!$B$40,0)</f>
        <v>0</v>
      </c>
      <c r="AP31" s="22">
        <f>IF(MOD(AP$4,3)=0,Hypothèses!$B$40,0)</f>
        <v>0</v>
      </c>
      <c r="AQ31" s="22">
        <f>IF(MOD(AQ$4,3)=0,Hypothèses!$B$40,0)</f>
        <v>50000</v>
      </c>
    </row>
    <row r="32" spans="1:43" x14ac:dyDescent="0.3">
      <c r="A32" s="6" t="s">
        <v>438</v>
      </c>
      <c r="B32" s="22">
        <f t="shared" si="8"/>
        <v>0</v>
      </c>
      <c r="C32" s="22">
        <f t="shared" si="9"/>
        <v>600000</v>
      </c>
      <c r="D32" s="22">
        <f t="shared" si="10"/>
        <v>0</v>
      </c>
      <c r="E32" s="22">
        <f t="shared" si="11"/>
        <v>0</v>
      </c>
      <c r="F32" s="22">
        <f t="shared" si="12"/>
        <v>600000</v>
      </c>
      <c r="G32" s="22">
        <v>0</v>
      </c>
      <c r="H32" s="22">
        <f>IF(H$4&lt;=Hypothèses!$B$42,Hypothèses!$B$41,0)</f>
        <v>100000</v>
      </c>
      <c r="I32" s="22">
        <f>IF(I$4&lt;=Hypothèses!$B$42,Hypothèses!$B$41,0)</f>
        <v>100000</v>
      </c>
      <c r="J32" s="22">
        <f>IF(J$4&lt;=Hypothèses!$B$42,Hypothèses!$B$41,0)</f>
        <v>100000</v>
      </c>
      <c r="K32" s="22">
        <f>IF(K$4&lt;=Hypothèses!$B$42,Hypothèses!$B$41,0)</f>
        <v>100000</v>
      </c>
      <c r="L32" s="22">
        <f>IF(L$4&lt;=Hypothèses!$B$42,Hypothèses!$B$41,0)</f>
        <v>100000</v>
      </c>
      <c r="M32" s="22">
        <f>IF(M$4&lt;=Hypothèses!$B$42,Hypothèses!$B$41,0)</f>
        <v>100000</v>
      </c>
      <c r="N32" s="22">
        <f>IF(N$4&lt;=Hypothèses!$B$42,Hypothèses!$B$41,0)</f>
        <v>0</v>
      </c>
      <c r="O32" s="22">
        <f>IF(O$4&lt;=Hypothèses!$B$42,Hypothèses!$B$41,0)</f>
        <v>0</v>
      </c>
      <c r="P32" s="22">
        <f>IF(P$4&lt;=Hypothèses!$B$42,Hypothèses!$B$41,0)</f>
        <v>0</v>
      </c>
      <c r="Q32" s="22">
        <f>IF(Q$4&lt;=Hypothèses!$B$42,Hypothèses!$B$41,0)</f>
        <v>0</v>
      </c>
      <c r="R32" s="22">
        <f>IF(R$4&lt;=Hypothèses!$B$42,Hypothèses!$B$41,0)</f>
        <v>0</v>
      </c>
      <c r="S32" s="22">
        <f>IF(S$4&lt;=Hypothèses!$B$42,Hypothèses!$B$41,0)</f>
        <v>0</v>
      </c>
      <c r="T32" s="22">
        <f>IF(T$4&lt;=Hypothèses!$B$42,Hypothèses!$B$41,0)</f>
        <v>0</v>
      </c>
      <c r="U32" s="22">
        <f>IF(U$4&lt;=Hypothèses!$B$42,Hypothèses!$B$41,0)</f>
        <v>0</v>
      </c>
      <c r="V32" s="22">
        <f>IF(V$4&lt;=Hypothèses!$B$42,Hypothèses!$B$41,0)</f>
        <v>0</v>
      </c>
      <c r="W32" s="22">
        <f>IF(W$4&lt;=Hypothèses!$B$42,Hypothèses!$B$41,0)</f>
        <v>0</v>
      </c>
      <c r="X32" s="22">
        <f>IF(X$4&lt;=Hypothèses!$B$42,Hypothèses!$B$41,0)</f>
        <v>0</v>
      </c>
      <c r="Y32" s="22">
        <f>IF(Y$4&lt;=Hypothèses!$B$42,Hypothèses!$B$41,0)</f>
        <v>0</v>
      </c>
      <c r="Z32" s="22">
        <f>IF(Z$4&lt;=Hypothèses!$B$42,Hypothèses!$B$41,0)</f>
        <v>0</v>
      </c>
      <c r="AA32" s="22">
        <f>IF(AA$4&lt;=Hypothèses!$B$42,Hypothèses!$B$41,0)</f>
        <v>0</v>
      </c>
      <c r="AB32" s="22">
        <f>IF(AB$4&lt;=Hypothèses!$B$42,Hypothèses!$B$41,0)</f>
        <v>0</v>
      </c>
      <c r="AC32" s="22">
        <f>IF(AC$4&lt;=Hypothèses!$B$42,Hypothèses!$B$41,0)</f>
        <v>0</v>
      </c>
      <c r="AD32" s="22">
        <f>IF(AD$4&lt;=Hypothèses!$B$42,Hypothèses!$B$41,0)</f>
        <v>0</v>
      </c>
      <c r="AE32" s="22">
        <f>IF(AE$4&lt;=Hypothèses!$B$42,Hypothèses!$B$41,0)</f>
        <v>0</v>
      </c>
      <c r="AF32" s="22">
        <f>IF(AF$4&lt;=Hypothèses!$B$42,Hypothèses!$B$41,0)</f>
        <v>0</v>
      </c>
      <c r="AG32" s="22">
        <f>IF(AG$4&lt;=Hypothèses!$B$42,Hypothèses!$B$41,0)</f>
        <v>0</v>
      </c>
      <c r="AH32" s="22">
        <f>IF(AH$4&lt;=Hypothèses!$B$42,Hypothèses!$B$41,0)</f>
        <v>0</v>
      </c>
      <c r="AI32" s="22">
        <f>IF(AI$4&lt;=Hypothèses!$B$42,Hypothèses!$B$41,0)</f>
        <v>0</v>
      </c>
      <c r="AJ32" s="22">
        <f>IF(AJ$4&lt;=Hypothèses!$B$42,Hypothèses!$B$41,0)</f>
        <v>0</v>
      </c>
      <c r="AK32" s="22">
        <f>IF(AK$4&lt;=Hypothèses!$B$42,Hypothèses!$B$41,0)</f>
        <v>0</v>
      </c>
      <c r="AL32" s="22">
        <f>IF(AL$4&lt;=Hypothèses!$B$42,Hypothèses!$B$41,0)</f>
        <v>0</v>
      </c>
      <c r="AM32" s="22">
        <f>IF(AM$4&lt;=Hypothèses!$B$42,Hypothèses!$B$41,0)</f>
        <v>0</v>
      </c>
      <c r="AN32" s="22">
        <f>IF(AN$4&lt;=Hypothèses!$B$42,Hypothèses!$B$41,0)</f>
        <v>0</v>
      </c>
      <c r="AO32" s="22">
        <f>IF(AO$4&lt;=Hypothèses!$B$42,Hypothèses!$B$41,0)</f>
        <v>0</v>
      </c>
      <c r="AP32" s="22">
        <f>IF(AP$4&lt;=Hypothèses!$B$42,Hypothèses!$B$41,0)</f>
        <v>0</v>
      </c>
      <c r="AQ32" s="22">
        <f>IF(AQ$4&lt;=Hypothèses!$B$42,Hypothèses!$B$41,0)</f>
        <v>0</v>
      </c>
    </row>
    <row r="33" spans="1:43" x14ac:dyDescent="0.3">
      <c r="A33" s="6" t="s">
        <v>439</v>
      </c>
      <c r="B33" s="22">
        <f t="shared" si="8"/>
        <v>0</v>
      </c>
      <c r="C33" s="22">
        <f t="shared" si="9"/>
        <v>1735236</v>
      </c>
      <c r="D33" s="22">
        <f t="shared" si="10"/>
        <v>1800000</v>
      </c>
      <c r="E33" s="22">
        <f t="shared" si="11"/>
        <v>1800000</v>
      </c>
      <c r="F33" s="22">
        <f t="shared" si="12"/>
        <v>5335236</v>
      </c>
      <c r="G33" s="22">
        <v>0</v>
      </c>
      <c r="H33" s="22">
        <f>MIN(Hypothèses!$B$43*Hypothèses!$B$94*(H9*Hypothèses!$B$45+H10*Hypothèses!$B$46+IF(H$4&gt;=Hypothèses!$B$59,Hypothèses!$B$57*Hypothèses!$B$60+Hypothèses!$B$58*Hypothèses!$B$61,0)+H87*Hypothèses!$B$60+H88*Hypothèses!$B$61+H89*Hypothèses!$B$45+H90*Hypothèses!$B$46)*Hypothèses!$B$47,Hypothèses!$B$44)</f>
        <v>133809</v>
      </c>
      <c r="I33" s="22">
        <f>MIN(Hypothèses!$B$43*Hypothèses!$B$94*(I9*Hypothèses!$B$45+I10*Hypothèses!$B$46+IF(I$4&gt;=Hypothèses!$B$59,Hypothèses!$B$57*Hypothèses!$B$60+Hypothèses!$B$58*Hypothèses!$B$61,0)+I87*Hypothèses!$B$60+I88*Hypothèses!$B$61+I89*Hypothèses!$B$45+I90*Hypothèses!$B$46)*Hypothèses!$B$47,Hypothèses!$B$44)</f>
        <v>133809</v>
      </c>
      <c r="J33" s="22">
        <f>MIN(Hypothèses!$B$43*Hypothèses!$B$94*(J9*Hypothèses!$B$45+J10*Hypothèses!$B$46+IF(J$4&gt;=Hypothèses!$B$59,Hypothèses!$B$57*Hypothèses!$B$60+Hypothèses!$B$58*Hypothèses!$B$61,0)+J87*Hypothèses!$B$60+J88*Hypothèses!$B$61+J89*Hypothèses!$B$45+J90*Hypothèses!$B$46)*Hypothèses!$B$47,Hypothèses!$B$44)</f>
        <v>133809</v>
      </c>
      <c r="K33" s="22">
        <f>MIN(Hypothèses!$B$43*Hypothèses!$B$94*(K9*Hypothèses!$B$45+K10*Hypothèses!$B$46+IF(K$4&gt;=Hypothèses!$B$59,Hypothèses!$B$57*Hypothèses!$B$60+Hypothèses!$B$58*Hypothèses!$B$61,0)+K87*Hypothèses!$B$60+K88*Hypothèses!$B$61+K89*Hypothèses!$B$45+K90*Hypothèses!$B$46)*Hypothèses!$B$47,Hypothèses!$B$44)</f>
        <v>133809</v>
      </c>
      <c r="L33" s="22">
        <f>MIN(Hypothèses!$B$43*Hypothèses!$B$94*(L9*Hypothèses!$B$45+L10*Hypothèses!$B$46+IF(L$4&gt;=Hypothèses!$B$59,Hypothèses!$B$57*Hypothèses!$B$60+Hypothèses!$B$58*Hypothèses!$B$61,0)+L87*Hypothèses!$B$60+L88*Hypothèses!$B$61+L89*Hypothèses!$B$45+L90*Hypothèses!$B$46)*Hypothèses!$B$47,Hypothèses!$B$44)</f>
        <v>150000</v>
      </c>
      <c r="M33" s="22">
        <f>MIN(Hypothèses!$B$43*Hypothèses!$B$94*(M9*Hypothèses!$B$45+M10*Hypothèses!$B$46+IF(M$4&gt;=Hypothèses!$B$59,Hypothèses!$B$57*Hypothèses!$B$60+Hypothèses!$B$58*Hypothèses!$B$61,0)+M87*Hypothèses!$B$60+M88*Hypothèses!$B$61+M89*Hypothèses!$B$45+M90*Hypothèses!$B$46)*Hypothèses!$B$47,Hypothèses!$B$44)</f>
        <v>150000</v>
      </c>
      <c r="N33" s="22">
        <f>MIN(Hypothèses!$B$43*Hypothèses!$B$94*(N9*Hypothèses!$B$45+N10*Hypothèses!$B$46+IF(N$4&gt;=Hypothèses!$B$59,Hypothèses!$B$57*Hypothèses!$B$60+Hypothèses!$B$58*Hypothèses!$B$61,0)+N87*Hypothèses!$B$60+N88*Hypothèses!$B$61+N89*Hypothèses!$B$45+N90*Hypothèses!$B$46)*Hypothèses!$B$47,Hypothèses!$B$44)</f>
        <v>150000</v>
      </c>
      <c r="O33" s="22">
        <f>MIN(Hypothèses!$B$43*Hypothèses!$B$94*(O9*Hypothèses!$B$45+O10*Hypothèses!$B$46+IF(O$4&gt;=Hypothèses!$B$59,Hypothèses!$B$57*Hypothèses!$B$60+Hypothèses!$B$58*Hypothèses!$B$61,0)+O87*Hypothèses!$B$60+O88*Hypothèses!$B$61+O89*Hypothèses!$B$45+O90*Hypothèses!$B$46)*Hypothèses!$B$47,Hypothèses!$B$44)</f>
        <v>150000</v>
      </c>
      <c r="P33" s="22">
        <f>MIN(Hypothèses!$B$43*Hypothèses!$B$94*(P9*Hypothèses!$B$45+P10*Hypothèses!$B$46+IF(P$4&gt;=Hypothèses!$B$59,Hypothèses!$B$57*Hypothèses!$B$60+Hypothèses!$B$58*Hypothèses!$B$61,0)+P87*Hypothèses!$B$60+P88*Hypothèses!$B$61+P89*Hypothèses!$B$45+P90*Hypothèses!$B$46)*Hypothèses!$B$47,Hypothèses!$B$44)</f>
        <v>150000</v>
      </c>
      <c r="Q33" s="22">
        <f>MIN(Hypothèses!$B$43*Hypothèses!$B$94*(Q9*Hypothèses!$B$45+Q10*Hypothèses!$B$46+IF(Q$4&gt;=Hypothèses!$B$59,Hypothèses!$B$57*Hypothèses!$B$60+Hypothèses!$B$58*Hypothèses!$B$61,0)+Q87*Hypothèses!$B$60+Q88*Hypothèses!$B$61+Q89*Hypothèses!$B$45+Q90*Hypothèses!$B$46)*Hypothèses!$B$47,Hypothèses!$B$44)</f>
        <v>150000</v>
      </c>
      <c r="R33" s="22">
        <f>MIN(Hypothèses!$B$43*Hypothèses!$B$94*(R9*Hypothèses!$B$45+R10*Hypothèses!$B$46+IF(R$4&gt;=Hypothèses!$B$59,Hypothèses!$B$57*Hypothèses!$B$60+Hypothèses!$B$58*Hypothèses!$B$61,0)+R87*Hypothèses!$B$60+R88*Hypothèses!$B$61+R89*Hypothèses!$B$45+R90*Hypothèses!$B$46)*Hypothèses!$B$47,Hypothèses!$B$44)</f>
        <v>150000</v>
      </c>
      <c r="S33" s="22">
        <f>MIN(Hypothèses!$B$43*Hypothèses!$B$94*(S9*Hypothèses!$B$45+S10*Hypothèses!$B$46+IF(S$4&gt;=Hypothèses!$B$59,Hypothèses!$B$57*Hypothèses!$B$60+Hypothèses!$B$58*Hypothèses!$B$61,0)+S87*Hypothèses!$B$60+S88*Hypothèses!$B$61+S89*Hypothèses!$B$45+S90*Hypothèses!$B$46)*Hypothèses!$B$47,Hypothèses!$B$44)</f>
        <v>150000</v>
      </c>
      <c r="T33" s="22">
        <f>MIN(Hypothèses!$B$43*Hypothèses!$B$94*(T9*Hypothèses!$B$45+T10*Hypothèses!$B$46+IF(T$4&gt;=Hypothèses!$B$59,Hypothèses!$B$57*Hypothèses!$B$60+Hypothèses!$B$58*Hypothèses!$B$61,0)+T87*Hypothèses!$B$60+T88*Hypothèses!$B$61+T89*Hypothèses!$B$45+T90*Hypothèses!$B$46)*Hypothèses!$B$47,Hypothèses!$B$44)</f>
        <v>150000</v>
      </c>
      <c r="U33" s="22">
        <f>MIN(Hypothèses!$B$43*Hypothèses!$B$94*(U9*Hypothèses!$B$45+U10*Hypothèses!$B$46+IF(U$4&gt;=Hypothèses!$B$59,Hypothèses!$B$57*Hypothèses!$B$60+Hypothèses!$B$58*Hypothèses!$B$61,0)+U87*Hypothèses!$B$60+U88*Hypothèses!$B$61+U89*Hypothèses!$B$45+U90*Hypothèses!$B$46)*Hypothèses!$B$47,Hypothèses!$B$44)</f>
        <v>150000</v>
      </c>
      <c r="V33" s="22">
        <f>MIN(Hypothèses!$B$43*Hypothèses!$B$94*(V9*Hypothèses!$B$45+V10*Hypothèses!$B$46+IF(V$4&gt;=Hypothèses!$B$59,Hypothèses!$B$57*Hypothèses!$B$60+Hypothèses!$B$58*Hypothèses!$B$61,0)+V87*Hypothèses!$B$60+V88*Hypothèses!$B$61+V89*Hypothèses!$B$45+V90*Hypothèses!$B$46)*Hypothèses!$B$47,Hypothèses!$B$44)</f>
        <v>150000</v>
      </c>
      <c r="W33" s="22">
        <f>MIN(Hypothèses!$B$43*Hypothèses!$B$94*(W9*Hypothèses!$B$45+W10*Hypothèses!$B$46+IF(W$4&gt;=Hypothèses!$B$59,Hypothèses!$B$57*Hypothèses!$B$60+Hypothèses!$B$58*Hypothèses!$B$61,0)+W87*Hypothèses!$B$60+W88*Hypothèses!$B$61+W89*Hypothèses!$B$45+W90*Hypothèses!$B$46)*Hypothèses!$B$47,Hypothèses!$B$44)</f>
        <v>150000</v>
      </c>
      <c r="X33" s="22">
        <f>MIN(Hypothèses!$B$43*Hypothèses!$B$94*(X9*Hypothèses!$B$45+X10*Hypothèses!$B$46+IF(X$4&gt;=Hypothèses!$B$59,Hypothèses!$B$57*Hypothèses!$B$60+Hypothèses!$B$58*Hypothèses!$B$61,0)+X87*Hypothèses!$B$60+X88*Hypothèses!$B$61+X89*Hypothèses!$B$45+X90*Hypothèses!$B$46)*Hypothèses!$B$47,Hypothèses!$B$44)</f>
        <v>150000</v>
      </c>
      <c r="Y33" s="22">
        <f>MIN(Hypothèses!$B$43*Hypothèses!$B$94*(Y9*Hypothèses!$B$45+Y10*Hypothèses!$B$46+IF(Y$4&gt;=Hypothèses!$B$59,Hypothèses!$B$57*Hypothèses!$B$60+Hypothèses!$B$58*Hypothèses!$B$61,0)+Y87*Hypothèses!$B$60+Y88*Hypothèses!$B$61+Y89*Hypothèses!$B$45+Y90*Hypothèses!$B$46)*Hypothèses!$B$47,Hypothèses!$B$44)</f>
        <v>150000</v>
      </c>
      <c r="Z33" s="22">
        <f>MIN(Hypothèses!$B$43*Hypothèses!$B$94*(Z9*Hypothèses!$B$45+Z10*Hypothèses!$B$46+IF(Z$4&gt;=Hypothèses!$B$59,Hypothèses!$B$57*Hypothèses!$B$60+Hypothèses!$B$58*Hypothèses!$B$61,0)+Z87*Hypothèses!$B$60+Z88*Hypothèses!$B$61+Z89*Hypothèses!$B$45+Z90*Hypothèses!$B$46)*Hypothèses!$B$47,Hypothèses!$B$44)</f>
        <v>150000</v>
      </c>
      <c r="AA33" s="22">
        <f>MIN(Hypothèses!$B$43*Hypothèses!$B$94*(AA9*Hypothèses!$B$45+AA10*Hypothèses!$B$46+IF(AA$4&gt;=Hypothèses!$B$59,Hypothèses!$B$57*Hypothèses!$B$60+Hypothèses!$B$58*Hypothèses!$B$61,0)+AA87*Hypothèses!$B$60+AA88*Hypothèses!$B$61+AA89*Hypothèses!$B$45+AA90*Hypothèses!$B$46)*Hypothèses!$B$47,Hypothèses!$B$44)</f>
        <v>150000</v>
      </c>
      <c r="AB33" s="22">
        <f>MIN(Hypothèses!$B$43*Hypothèses!$B$94*(AB9*Hypothèses!$B$45+AB10*Hypothèses!$B$46+IF(AB$4&gt;=Hypothèses!$B$59,Hypothèses!$B$57*Hypothèses!$B$60+Hypothèses!$B$58*Hypothèses!$B$61,0)+AB87*Hypothèses!$B$60+AB88*Hypothèses!$B$61+AB89*Hypothèses!$B$45+AB90*Hypothèses!$B$46)*Hypothèses!$B$47,Hypothèses!$B$44)</f>
        <v>150000</v>
      </c>
      <c r="AC33" s="22">
        <f>MIN(Hypothèses!$B$43*Hypothèses!$B$94*(AC9*Hypothèses!$B$45+AC10*Hypothèses!$B$46+IF(AC$4&gt;=Hypothèses!$B$59,Hypothèses!$B$57*Hypothèses!$B$60+Hypothèses!$B$58*Hypothèses!$B$61,0)+AC87*Hypothèses!$B$60+AC88*Hypothèses!$B$61+AC89*Hypothèses!$B$45+AC90*Hypothèses!$B$46)*Hypothèses!$B$47,Hypothèses!$B$44)</f>
        <v>150000</v>
      </c>
      <c r="AD33" s="22">
        <f>MIN(Hypothèses!$B$43*Hypothèses!$B$94*(AD9*Hypothèses!$B$45+AD10*Hypothèses!$B$46+IF(AD$4&gt;=Hypothèses!$B$59,Hypothèses!$B$57*Hypothèses!$B$60+Hypothèses!$B$58*Hypothèses!$B$61,0)+AD87*Hypothèses!$B$60+AD88*Hypothèses!$B$61+AD89*Hypothèses!$B$45+AD90*Hypothèses!$B$46)*Hypothèses!$B$47,Hypothèses!$B$44)</f>
        <v>150000</v>
      </c>
      <c r="AE33" s="22">
        <f>MIN(Hypothèses!$B$43*Hypothèses!$B$94*(AE9*Hypothèses!$B$45+AE10*Hypothèses!$B$46+IF(AE$4&gt;=Hypothèses!$B$59,Hypothèses!$B$57*Hypothèses!$B$60+Hypothèses!$B$58*Hypothèses!$B$61,0)+AE87*Hypothèses!$B$60+AE88*Hypothèses!$B$61+AE89*Hypothèses!$B$45+AE90*Hypothèses!$B$46)*Hypothèses!$B$47,Hypothèses!$B$44)</f>
        <v>150000</v>
      </c>
      <c r="AF33" s="22">
        <f>MIN(Hypothèses!$B$43*Hypothèses!$B$94*(AF9*Hypothèses!$B$45+AF10*Hypothèses!$B$46+IF(AF$4&gt;=Hypothèses!$B$59,Hypothèses!$B$57*Hypothèses!$B$60+Hypothèses!$B$58*Hypothèses!$B$61,0)+AF87*Hypothèses!$B$60+AF88*Hypothèses!$B$61+AF89*Hypothèses!$B$45+AF90*Hypothèses!$B$46)*Hypothèses!$B$47,Hypothèses!$B$44)</f>
        <v>150000</v>
      </c>
      <c r="AG33" s="22">
        <f>MIN(Hypothèses!$B$43*Hypothèses!$B$94*(AG9*Hypothèses!$B$45+AG10*Hypothèses!$B$46+IF(AG$4&gt;=Hypothèses!$B$59,Hypothèses!$B$57*Hypothèses!$B$60+Hypothèses!$B$58*Hypothèses!$B$61,0)+AG87*Hypothèses!$B$60+AG88*Hypothèses!$B$61+AG89*Hypothèses!$B$45+AG90*Hypothèses!$B$46)*Hypothèses!$B$47,Hypothèses!$B$44)</f>
        <v>150000</v>
      </c>
      <c r="AH33" s="22">
        <f>MIN(Hypothèses!$B$43*Hypothèses!$B$94*(AH9*Hypothèses!$B$45+AH10*Hypothèses!$B$46+IF(AH$4&gt;=Hypothèses!$B$59,Hypothèses!$B$57*Hypothèses!$B$60+Hypothèses!$B$58*Hypothèses!$B$61,0)+AH87*Hypothèses!$B$60+AH88*Hypothèses!$B$61+AH89*Hypothèses!$B$45+AH90*Hypothèses!$B$46)*Hypothèses!$B$47,Hypothèses!$B$44)</f>
        <v>150000</v>
      </c>
      <c r="AI33" s="22">
        <f>MIN(Hypothèses!$B$43*Hypothèses!$B$94*(AI9*Hypothèses!$B$45+AI10*Hypothèses!$B$46+IF(AI$4&gt;=Hypothèses!$B$59,Hypothèses!$B$57*Hypothèses!$B$60+Hypothèses!$B$58*Hypothèses!$B$61,0)+AI87*Hypothèses!$B$60+AI88*Hypothèses!$B$61+AI89*Hypothèses!$B$45+AI90*Hypothèses!$B$46)*Hypothèses!$B$47,Hypothèses!$B$44)</f>
        <v>150000</v>
      </c>
      <c r="AJ33" s="22">
        <f>MIN(Hypothèses!$B$43*Hypothèses!$B$94*(AJ9*Hypothèses!$B$45+AJ10*Hypothèses!$B$46+IF(AJ$4&gt;=Hypothèses!$B$59,Hypothèses!$B$57*Hypothèses!$B$60+Hypothèses!$B$58*Hypothèses!$B$61,0)+AJ87*Hypothèses!$B$60+AJ88*Hypothèses!$B$61+AJ89*Hypothèses!$B$45+AJ90*Hypothèses!$B$46)*Hypothèses!$B$47,Hypothèses!$B$44)</f>
        <v>150000</v>
      </c>
      <c r="AK33" s="22">
        <f>MIN(Hypothèses!$B$43*Hypothèses!$B$94*(AK9*Hypothèses!$B$45+AK10*Hypothèses!$B$46+IF(AK$4&gt;=Hypothèses!$B$59,Hypothèses!$B$57*Hypothèses!$B$60+Hypothèses!$B$58*Hypothèses!$B$61,0)+AK87*Hypothèses!$B$60+AK88*Hypothèses!$B$61+AK89*Hypothèses!$B$45+AK90*Hypothèses!$B$46)*Hypothèses!$B$47,Hypothèses!$B$44)</f>
        <v>150000</v>
      </c>
      <c r="AL33" s="22">
        <f>MIN(Hypothèses!$B$43*Hypothèses!$B$94*(AL9*Hypothèses!$B$45+AL10*Hypothèses!$B$46+IF(AL$4&gt;=Hypothèses!$B$59,Hypothèses!$B$57*Hypothèses!$B$60+Hypothèses!$B$58*Hypothèses!$B$61,0)+AL87*Hypothèses!$B$60+AL88*Hypothèses!$B$61+AL89*Hypothèses!$B$45+AL90*Hypothèses!$B$46)*Hypothèses!$B$47,Hypothèses!$B$44)</f>
        <v>150000</v>
      </c>
      <c r="AM33" s="22">
        <f>MIN(Hypothèses!$B$43*Hypothèses!$B$94*(AM9*Hypothèses!$B$45+AM10*Hypothèses!$B$46+IF(AM$4&gt;=Hypothèses!$B$59,Hypothèses!$B$57*Hypothèses!$B$60+Hypothèses!$B$58*Hypothèses!$B$61,0)+AM87*Hypothèses!$B$60+AM88*Hypothèses!$B$61+AM89*Hypothèses!$B$45+AM90*Hypothèses!$B$46)*Hypothèses!$B$47,Hypothèses!$B$44)</f>
        <v>150000</v>
      </c>
      <c r="AN33" s="22">
        <f>MIN(Hypothèses!$B$43*Hypothèses!$B$94*(AN9*Hypothèses!$B$45+AN10*Hypothèses!$B$46+IF(AN$4&gt;=Hypothèses!$B$59,Hypothèses!$B$57*Hypothèses!$B$60+Hypothèses!$B$58*Hypothèses!$B$61,0)+AN87*Hypothèses!$B$60+AN88*Hypothèses!$B$61+AN89*Hypothèses!$B$45+AN90*Hypothèses!$B$46)*Hypothèses!$B$47,Hypothèses!$B$44)</f>
        <v>150000</v>
      </c>
      <c r="AO33" s="22">
        <f>MIN(Hypothèses!$B$43*Hypothèses!$B$94*(AO9*Hypothèses!$B$45+AO10*Hypothèses!$B$46+IF(AO$4&gt;=Hypothèses!$B$59,Hypothèses!$B$57*Hypothèses!$B$60+Hypothèses!$B$58*Hypothèses!$B$61,0)+AO87*Hypothèses!$B$60+AO88*Hypothèses!$B$61+AO89*Hypothèses!$B$45+AO90*Hypothèses!$B$46)*Hypothèses!$B$47,Hypothèses!$B$44)</f>
        <v>150000</v>
      </c>
      <c r="AP33" s="22">
        <f>MIN(Hypothèses!$B$43*Hypothèses!$B$94*(AP9*Hypothèses!$B$45+AP10*Hypothèses!$B$46+IF(AP$4&gt;=Hypothèses!$B$59,Hypothèses!$B$57*Hypothèses!$B$60+Hypothèses!$B$58*Hypothèses!$B$61,0)+AP87*Hypothèses!$B$60+AP88*Hypothèses!$B$61+AP89*Hypothèses!$B$45+AP90*Hypothèses!$B$46)*Hypothèses!$B$47,Hypothèses!$B$44)</f>
        <v>150000</v>
      </c>
      <c r="AQ33" s="22">
        <f>MIN(Hypothèses!$B$43*Hypothèses!$B$94*(AQ9*Hypothèses!$B$45+AQ10*Hypothèses!$B$46+IF(AQ$4&gt;=Hypothèses!$B$59,Hypothèses!$B$57*Hypothèses!$B$60+Hypothèses!$B$58*Hypothèses!$B$61,0)+AQ87*Hypothèses!$B$60+AQ88*Hypothèses!$B$61+AQ89*Hypothèses!$B$45+AQ90*Hypothèses!$B$46)*Hypothèses!$B$47,Hypothèses!$B$44)</f>
        <v>150000</v>
      </c>
    </row>
    <row r="34" spans="1:43" x14ac:dyDescent="0.3">
      <c r="A34" s="6" t="s">
        <v>440</v>
      </c>
      <c r="B34" s="22">
        <f t="shared" si="8"/>
        <v>0</v>
      </c>
      <c r="C34" s="22">
        <f t="shared" si="9"/>
        <v>0</v>
      </c>
      <c r="D34" s="22">
        <f t="shared" si="10"/>
        <v>280000</v>
      </c>
      <c r="E34" s="22">
        <f t="shared" si="11"/>
        <v>280000</v>
      </c>
      <c r="F34" s="22">
        <f t="shared" si="12"/>
        <v>560000</v>
      </c>
      <c r="G34" s="22">
        <v>0</v>
      </c>
      <c r="H34" s="22">
        <f>IF(OR(H$4=13,H$4=25),Hypothèses!$B$48,0)</f>
        <v>0</v>
      </c>
      <c r="I34" s="22">
        <f>IF(OR(I$4=13,I$4=25),Hypothèses!$B$48,0)</f>
        <v>0</v>
      </c>
      <c r="J34" s="22">
        <f>IF(OR(J$4=13,J$4=25),Hypothèses!$B$48,0)</f>
        <v>0</v>
      </c>
      <c r="K34" s="22">
        <f>IF(OR(K$4=13,K$4=25),Hypothèses!$B$48,0)</f>
        <v>0</v>
      </c>
      <c r="L34" s="22">
        <f>IF(OR(L$4=13,L$4=25),Hypothèses!$B$48,0)</f>
        <v>0</v>
      </c>
      <c r="M34" s="22">
        <f>IF(OR(M$4=13,M$4=25),Hypothèses!$B$48,0)</f>
        <v>0</v>
      </c>
      <c r="N34" s="22">
        <f>IF(OR(N$4=13,N$4=25),Hypothèses!$B$48,0)</f>
        <v>0</v>
      </c>
      <c r="O34" s="22">
        <f>IF(OR(O$4=13,O$4=25),Hypothèses!$B$48,0)</f>
        <v>0</v>
      </c>
      <c r="P34" s="22">
        <f>IF(OR(P$4=13,P$4=25),Hypothèses!$B$48,0)</f>
        <v>0</v>
      </c>
      <c r="Q34" s="22">
        <f>IF(OR(Q$4=13,Q$4=25),Hypothèses!$B$48,0)</f>
        <v>0</v>
      </c>
      <c r="R34" s="22">
        <f>IF(OR(R$4=13,R$4=25),Hypothèses!$B$48,0)</f>
        <v>0</v>
      </c>
      <c r="S34" s="22">
        <f>IF(OR(S$4=13,S$4=25),Hypothèses!$B$48,0)</f>
        <v>0</v>
      </c>
      <c r="T34" s="22">
        <f>IF(OR(T$4=13,T$4=25),Hypothèses!$B$48,0)</f>
        <v>280000</v>
      </c>
      <c r="U34" s="22">
        <f>IF(OR(U$4=13,U$4=25),Hypothèses!$B$48,0)</f>
        <v>0</v>
      </c>
      <c r="V34" s="22">
        <f>IF(OR(V$4=13,V$4=25),Hypothèses!$B$48,0)</f>
        <v>0</v>
      </c>
      <c r="W34" s="22">
        <f>IF(OR(W$4=13,W$4=25),Hypothèses!$B$48,0)</f>
        <v>0</v>
      </c>
      <c r="X34" s="22">
        <f>IF(OR(X$4=13,X$4=25),Hypothèses!$B$48,0)</f>
        <v>0</v>
      </c>
      <c r="Y34" s="22">
        <f>IF(OR(Y$4=13,Y$4=25),Hypothèses!$B$48,0)</f>
        <v>0</v>
      </c>
      <c r="Z34" s="22">
        <f>IF(OR(Z$4=13,Z$4=25),Hypothèses!$B$48,0)</f>
        <v>0</v>
      </c>
      <c r="AA34" s="22">
        <f>IF(OR(AA$4=13,AA$4=25),Hypothèses!$B$48,0)</f>
        <v>0</v>
      </c>
      <c r="AB34" s="22">
        <f>IF(OR(AB$4=13,AB$4=25),Hypothèses!$B$48,0)</f>
        <v>0</v>
      </c>
      <c r="AC34" s="22">
        <f>IF(OR(AC$4=13,AC$4=25),Hypothèses!$B$48,0)</f>
        <v>0</v>
      </c>
      <c r="AD34" s="22">
        <f>IF(OR(AD$4=13,AD$4=25),Hypothèses!$B$48,0)</f>
        <v>0</v>
      </c>
      <c r="AE34" s="22">
        <f>IF(OR(AE$4=13,AE$4=25),Hypothèses!$B$48,0)</f>
        <v>0</v>
      </c>
      <c r="AF34" s="22">
        <f>IF(OR(AF$4=13,AF$4=25),Hypothèses!$B$48,0)</f>
        <v>280000</v>
      </c>
      <c r="AG34" s="22">
        <f>IF(OR(AG$4=13,AG$4=25),Hypothèses!$B$48,0)</f>
        <v>0</v>
      </c>
      <c r="AH34" s="22">
        <f>IF(OR(AH$4=13,AH$4=25),Hypothèses!$B$48,0)</f>
        <v>0</v>
      </c>
      <c r="AI34" s="22">
        <f>IF(OR(AI$4=13,AI$4=25),Hypothèses!$B$48,0)</f>
        <v>0</v>
      </c>
      <c r="AJ34" s="22">
        <f>IF(OR(AJ$4=13,AJ$4=25),Hypothèses!$B$48,0)</f>
        <v>0</v>
      </c>
      <c r="AK34" s="22">
        <f>IF(OR(AK$4=13,AK$4=25),Hypothèses!$B$48,0)</f>
        <v>0</v>
      </c>
      <c r="AL34" s="22">
        <f>IF(OR(AL$4=13,AL$4=25),Hypothèses!$B$48,0)</f>
        <v>0</v>
      </c>
      <c r="AM34" s="22">
        <f>IF(OR(AM$4=13,AM$4=25),Hypothèses!$B$48,0)</f>
        <v>0</v>
      </c>
      <c r="AN34" s="22">
        <f>IF(OR(AN$4=13,AN$4=25),Hypothèses!$B$48,0)</f>
        <v>0</v>
      </c>
      <c r="AO34" s="22">
        <f>IF(OR(AO$4=13,AO$4=25),Hypothèses!$B$48,0)</f>
        <v>0</v>
      </c>
      <c r="AP34" s="22">
        <f>IF(OR(AP$4=13,AP$4=25),Hypothèses!$B$48,0)</f>
        <v>0</v>
      </c>
      <c r="AQ34" s="22">
        <f>IF(OR(AQ$4=13,AQ$4=25),Hypothèses!$B$48,0)</f>
        <v>0</v>
      </c>
    </row>
    <row r="35" spans="1:43" x14ac:dyDescent="0.3">
      <c r="A35" s="6" t="s">
        <v>195</v>
      </c>
      <c r="B35" s="22">
        <f t="shared" si="8"/>
        <v>0</v>
      </c>
      <c r="C35" s="22">
        <f t="shared" si="9"/>
        <v>0</v>
      </c>
      <c r="D35" s="22">
        <f t="shared" si="10"/>
        <v>254000</v>
      </c>
      <c r="E35" s="22">
        <f t="shared" si="11"/>
        <v>254000</v>
      </c>
      <c r="F35" s="22">
        <f t="shared" si="12"/>
        <v>508000</v>
      </c>
      <c r="G35" s="22">
        <v>0</v>
      </c>
      <c r="H35" s="22">
        <f>IF(OR(H$4=16,H$4=28),Hypothèses!$B$49,0)</f>
        <v>0</v>
      </c>
      <c r="I35" s="22">
        <f>IF(OR(I$4=16,I$4=28),Hypothèses!$B$49,0)</f>
        <v>0</v>
      </c>
      <c r="J35" s="22">
        <f>IF(OR(J$4=16,J$4=28),Hypothèses!$B$49,0)</f>
        <v>0</v>
      </c>
      <c r="K35" s="22">
        <f>IF(OR(K$4=16,K$4=28),Hypothèses!$B$49,0)</f>
        <v>0</v>
      </c>
      <c r="L35" s="22">
        <f>IF(OR(L$4=16,L$4=28),Hypothèses!$B$49,0)</f>
        <v>0</v>
      </c>
      <c r="M35" s="22">
        <f>IF(OR(M$4=16,M$4=28),Hypothèses!$B$49,0)</f>
        <v>0</v>
      </c>
      <c r="N35" s="22">
        <f>IF(OR(N$4=16,N$4=28),Hypothèses!$B$49,0)</f>
        <v>0</v>
      </c>
      <c r="O35" s="22">
        <f>IF(OR(O$4=16,O$4=28),Hypothèses!$B$49,0)</f>
        <v>0</v>
      </c>
      <c r="P35" s="22">
        <f>IF(OR(P$4=16,P$4=28),Hypothèses!$B$49,0)</f>
        <v>0</v>
      </c>
      <c r="Q35" s="22">
        <f>IF(OR(Q$4=16,Q$4=28),Hypothèses!$B$49,0)</f>
        <v>0</v>
      </c>
      <c r="R35" s="22">
        <f>IF(OR(R$4=16,R$4=28),Hypothèses!$B$49,0)</f>
        <v>0</v>
      </c>
      <c r="S35" s="22">
        <f>IF(OR(S$4=16,S$4=28),Hypothèses!$B$49,0)</f>
        <v>0</v>
      </c>
      <c r="T35" s="22">
        <f>IF(OR(T$4=16,T$4=28),Hypothèses!$B$49,0)</f>
        <v>0</v>
      </c>
      <c r="U35" s="22">
        <f>IF(OR(U$4=16,U$4=28),Hypothèses!$B$49,0)</f>
        <v>0</v>
      </c>
      <c r="V35" s="22">
        <f>IF(OR(V$4=16,V$4=28),Hypothèses!$B$49,0)</f>
        <v>0</v>
      </c>
      <c r="W35" s="22">
        <f>IF(OR(W$4=16,W$4=28),Hypothèses!$B$49,0)</f>
        <v>254000</v>
      </c>
      <c r="X35" s="22">
        <f>IF(OR(X$4=16,X$4=28),Hypothèses!$B$49,0)</f>
        <v>0</v>
      </c>
      <c r="Y35" s="22">
        <f>IF(OR(Y$4=16,Y$4=28),Hypothèses!$B$49,0)</f>
        <v>0</v>
      </c>
      <c r="Z35" s="22">
        <f>IF(OR(Z$4=16,Z$4=28),Hypothèses!$B$49,0)</f>
        <v>0</v>
      </c>
      <c r="AA35" s="22">
        <f>IF(OR(AA$4=16,AA$4=28),Hypothèses!$B$49,0)</f>
        <v>0</v>
      </c>
      <c r="AB35" s="22">
        <f>IF(OR(AB$4=16,AB$4=28),Hypothèses!$B$49,0)</f>
        <v>0</v>
      </c>
      <c r="AC35" s="22">
        <f>IF(OR(AC$4=16,AC$4=28),Hypothèses!$B$49,0)</f>
        <v>0</v>
      </c>
      <c r="AD35" s="22">
        <f>IF(OR(AD$4=16,AD$4=28),Hypothèses!$B$49,0)</f>
        <v>0</v>
      </c>
      <c r="AE35" s="22">
        <f>IF(OR(AE$4=16,AE$4=28),Hypothèses!$B$49,0)</f>
        <v>0</v>
      </c>
      <c r="AF35" s="22">
        <f>IF(OR(AF$4=16,AF$4=28),Hypothèses!$B$49,0)</f>
        <v>0</v>
      </c>
      <c r="AG35" s="22">
        <f>IF(OR(AG$4=16,AG$4=28),Hypothèses!$B$49,0)</f>
        <v>0</v>
      </c>
      <c r="AH35" s="22">
        <f>IF(OR(AH$4=16,AH$4=28),Hypothèses!$B$49,0)</f>
        <v>0</v>
      </c>
      <c r="AI35" s="22">
        <f>IF(OR(AI$4=16,AI$4=28),Hypothèses!$B$49,0)</f>
        <v>254000</v>
      </c>
      <c r="AJ35" s="22">
        <f>IF(OR(AJ$4=16,AJ$4=28),Hypothèses!$B$49,0)</f>
        <v>0</v>
      </c>
      <c r="AK35" s="22">
        <f>IF(OR(AK$4=16,AK$4=28),Hypothèses!$B$49,0)</f>
        <v>0</v>
      </c>
      <c r="AL35" s="22">
        <f>IF(OR(AL$4=16,AL$4=28),Hypothèses!$B$49,0)</f>
        <v>0</v>
      </c>
      <c r="AM35" s="22">
        <f>IF(OR(AM$4=16,AM$4=28),Hypothèses!$B$49,0)</f>
        <v>0</v>
      </c>
      <c r="AN35" s="22">
        <f>IF(OR(AN$4=16,AN$4=28),Hypothèses!$B$49,0)</f>
        <v>0</v>
      </c>
      <c r="AO35" s="22">
        <f>IF(OR(AO$4=16,AO$4=28),Hypothèses!$B$49,0)</f>
        <v>0</v>
      </c>
      <c r="AP35" s="22">
        <f>IF(OR(AP$4=16,AP$4=28),Hypothèses!$B$49,0)</f>
        <v>0</v>
      </c>
      <c r="AQ35" s="22">
        <f>IF(OR(AQ$4=16,AQ$4=28),Hypothèses!$B$49,0)</f>
        <v>0</v>
      </c>
    </row>
    <row r="36" spans="1:43" x14ac:dyDescent="0.3">
      <c r="A36" s="6" t="s">
        <v>441</v>
      </c>
      <c r="B36" s="22">
        <f t="shared" si="8"/>
        <v>0</v>
      </c>
      <c r="C36" s="22">
        <f t="shared" si="9"/>
        <v>0</v>
      </c>
      <c r="D36" s="22">
        <f t="shared" si="10"/>
        <v>172000</v>
      </c>
      <c r="E36" s="22">
        <f t="shared" si="11"/>
        <v>172000</v>
      </c>
      <c r="F36" s="22">
        <f t="shared" si="12"/>
        <v>344000</v>
      </c>
      <c r="G36" s="22">
        <v>0</v>
      </c>
      <c r="H36" s="22">
        <f>IF(OR(H$4=13,H$4=25),Hypothèses!$B$50+Hypothèses!$B$51*12*Hypothèses!$B$37,0)</f>
        <v>0</v>
      </c>
      <c r="I36" s="22">
        <f>IF(OR(I$4=13,I$4=25),Hypothèses!$B$50+Hypothèses!$B$51*12*Hypothèses!$B$37,0)</f>
        <v>0</v>
      </c>
      <c r="J36" s="22">
        <f>IF(OR(J$4=13,J$4=25),Hypothèses!$B$50+Hypothèses!$B$51*12*Hypothèses!$B$37,0)</f>
        <v>0</v>
      </c>
      <c r="K36" s="22">
        <f>IF(OR(K$4=13,K$4=25),Hypothèses!$B$50+Hypothèses!$B$51*12*Hypothèses!$B$37,0)</f>
        <v>0</v>
      </c>
      <c r="L36" s="22">
        <f>IF(OR(L$4=13,L$4=25),Hypothèses!$B$50+Hypothèses!$B$51*12*Hypothèses!$B$37,0)</f>
        <v>0</v>
      </c>
      <c r="M36" s="22">
        <f>IF(OR(M$4=13,M$4=25),Hypothèses!$B$50+Hypothèses!$B$51*12*Hypothèses!$B$37,0)</f>
        <v>0</v>
      </c>
      <c r="N36" s="22">
        <f>IF(OR(N$4=13,N$4=25),Hypothèses!$B$50+Hypothèses!$B$51*12*Hypothèses!$B$37,0)</f>
        <v>0</v>
      </c>
      <c r="O36" s="22">
        <f>IF(OR(O$4=13,O$4=25),Hypothèses!$B$50+Hypothèses!$B$51*12*Hypothèses!$B$37,0)</f>
        <v>0</v>
      </c>
      <c r="P36" s="22">
        <f>IF(OR(P$4=13,P$4=25),Hypothèses!$B$50+Hypothèses!$B$51*12*Hypothèses!$B$37,0)</f>
        <v>0</v>
      </c>
      <c r="Q36" s="22">
        <f>IF(OR(Q$4=13,Q$4=25),Hypothèses!$B$50+Hypothèses!$B$51*12*Hypothèses!$B$37,0)</f>
        <v>0</v>
      </c>
      <c r="R36" s="22">
        <f>IF(OR(R$4=13,R$4=25),Hypothèses!$B$50+Hypothèses!$B$51*12*Hypothèses!$B$37,0)</f>
        <v>0</v>
      </c>
      <c r="S36" s="22">
        <f>IF(OR(S$4=13,S$4=25),Hypothèses!$B$50+Hypothèses!$B$51*12*Hypothèses!$B$37,0)</f>
        <v>0</v>
      </c>
      <c r="T36" s="22">
        <f>IF(OR(T$4=13,T$4=25),Hypothèses!$B$50+Hypothèses!$B$51*12*Hypothèses!$B$37,0)</f>
        <v>172000</v>
      </c>
      <c r="U36" s="22">
        <f>IF(OR(U$4=13,U$4=25),Hypothèses!$B$50+Hypothèses!$B$51*12*Hypothèses!$B$37,0)</f>
        <v>0</v>
      </c>
      <c r="V36" s="22">
        <f>IF(OR(V$4=13,V$4=25),Hypothèses!$B$50+Hypothèses!$B$51*12*Hypothèses!$B$37,0)</f>
        <v>0</v>
      </c>
      <c r="W36" s="22">
        <f>IF(OR(W$4=13,W$4=25),Hypothèses!$B$50+Hypothèses!$B$51*12*Hypothèses!$B$37,0)</f>
        <v>0</v>
      </c>
      <c r="X36" s="22">
        <f>IF(OR(X$4=13,X$4=25),Hypothèses!$B$50+Hypothèses!$B$51*12*Hypothèses!$B$37,0)</f>
        <v>0</v>
      </c>
      <c r="Y36" s="22">
        <f>IF(OR(Y$4=13,Y$4=25),Hypothèses!$B$50+Hypothèses!$B$51*12*Hypothèses!$B$37,0)</f>
        <v>0</v>
      </c>
      <c r="Z36" s="22">
        <f>IF(OR(Z$4=13,Z$4=25),Hypothèses!$B$50+Hypothèses!$B$51*12*Hypothèses!$B$37,0)</f>
        <v>0</v>
      </c>
      <c r="AA36" s="22">
        <f>IF(OR(AA$4=13,AA$4=25),Hypothèses!$B$50+Hypothèses!$B$51*12*Hypothèses!$B$37,0)</f>
        <v>0</v>
      </c>
      <c r="AB36" s="22">
        <f>IF(OR(AB$4=13,AB$4=25),Hypothèses!$B$50+Hypothèses!$B$51*12*Hypothèses!$B$37,0)</f>
        <v>0</v>
      </c>
      <c r="AC36" s="22">
        <f>IF(OR(AC$4=13,AC$4=25),Hypothèses!$B$50+Hypothèses!$B$51*12*Hypothèses!$B$37,0)</f>
        <v>0</v>
      </c>
      <c r="AD36" s="22">
        <f>IF(OR(AD$4=13,AD$4=25),Hypothèses!$B$50+Hypothèses!$B$51*12*Hypothèses!$B$37,0)</f>
        <v>0</v>
      </c>
      <c r="AE36" s="22">
        <f>IF(OR(AE$4=13,AE$4=25),Hypothèses!$B$50+Hypothèses!$B$51*12*Hypothèses!$B$37,0)</f>
        <v>0</v>
      </c>
      <c r="AF36" s="22">
        <f>IF(OR(AF$4=13,AF$4=25),Hypothèses!$B$50+Hypothèses!$B$51*12*Hypothèses!$B$37,0)</f>
        <v>172000</v>
      </c>
      <c r="AG36" s="22">
        <f>IF(OR(AG$4=13,AG$4=25),Hypothèses!$B$50+Hypothèses!$B$51*12*Hypothèses!$B$37,0)</f>
        <v>0</v>
      </c>
      <c r="AH36" s="22">
        <f>IF(OR(AH$4=13,AH$4=25),Hypothèses!$B$50+Hypothèses!$B$51*12*Hypothèses!$B$37,0)</f>
        <v>0</v>
      </c>
      <c r="AI36" s="22">
        <f>IF(OR(AI$4=13,AI$4=25),Hypothèses!$B$50+Hypothèses!$B$51*12*Hypothèses!$B$37,0)</f>
        <v>0</v>
      </c>
      <c r="AJ36" s="22">
        <f>IF(OR(AJ$4=13,AJ$4=25),Hypothèses!$B$50+Hypothèses!$B$51*12*Hypothèses!$B$37,0)</f>
        <v>0</v>
      </c>
      <c r="AK36" s="22">
        <f>IF(OR(AK$4=13,AK$4=25),Hypothèses!$B$50+Hypothèses!$B$51*12*Hypothèses!$B$37,0)</f>
        <v>0</v>
      </c>
      <c r="AL36" s="22">
        <f>IF(OR(AL$4=13,AL$4=25),Hypothèses!$B$50+Hypothèses!$B$51*12*Hypothèses!$B$37,0)</f>
        <v>0</v>
      </c>
      <c r="AM36" s="22">
        <f>IF(OR(AM$4=13,AM$4=25),Hypothèses!$B$50+Hypothèses!$B$51*12*Hypothèses!$B$37,0)</f>
        <v>0</v>
      </c>
      <c r="AN36" s="22">
        <f>IF(OR(AN$4=13,AN$4=25),Hypothèses!$B$50+Hypothèses!$B$51*12*Hypothèses!$B$37,0)</f>
        <v>0</v>
      </c>
      <c r="AO36" s="22">
        <f>IF(OR(AO$4=13,AO$4=25),Hypothèses!$B$50+Hypothèses!$B$51*12*Hypothèses!$B$37,0)</f>
        <v>0</v>
      </c>
      <c r="AP36" s="22">
        <f>IF(OR(AP$4=13,AP$4=25),Hypothèses!$B$50+Hypothèses!$B$51*12*Hypothèses!$B$37,0)</f>
        <v>0</v>
      </c>
      <c r="AQ36" s="22">
        <f>IF(OR(AQ$4=13,AQ$4=25),Hypothèses!$B$50+Hypothèses!$B$51*12*Hypothèses!$B$37,0)</f>
        <v>0</v>
      </c>
    </row>
    <row r="37" spans="1:43" x14ac:dyDescent="0.3">
      <c r="A37" s="6" t="s">
        <v>442</v>
      </c>
      <c r="B37" s="22">
        <f t="shared" si="8"/>
        <v>0</v>
      </c>
      <c r="C37" s="22">
        <f t="shared" si="9"/>
        <v>630000</v>
      </c>
      <c r="D37" s="22">
        <f t="shared" si="10"/>
        <v>0</v>
      </c>
      <c r="E37" s="22">
        <f t="shared" si="11"/>
        <v>0</v>
      </c>
      <c r="F37" s="22">
        <f t="shared" si="12"/>
        <v>630000</v>
      </c>
      <c r="G37" s="22">
        <f>0</f>
        <v>0</v>
      </c>
      <c r="H37" s="22">
        <f>Hypothèses!$B$101*(N(H7)+N(H8)+IF(H$4=Hypothèses!$B$59,Hypothèses!$B$57+Hypothèses!$B$58,0)+H91)</f>
        <v>450000</v>
      </c>
      <c r="I37" s="22">
        <f>Hypothèses!$B$101*(N(I7)+N(I8)+IF(I$4=Hypothèses!$B$59,Hypothèses!$B$57+Hypothèses!$B$58,0)+I91)</f>
        <v>0</v>
      </c>
      <c r="J37" s="22">
        <f>Hypothèses!$B$101*(N(J7)+N(J8)+IF(J$4=Hypothèses!$B$59,Hypothèses!$B$57+Hypothèses!$B$58,0)+J91)</f>
        <v>0</v>
      </c>
      <c r="K37" s="22">
        <f>Hypothèses!$B$101*(N(K7)+N(K8)+IF(K$4=Hypothèses!$B$59,Hypothèses!$B$57+Hypothèses!$B$58,0)+K91)</f>
        <v>0</v>
      </c>
      <c r="L37" s="22">
        <f>Hypothèses!$B$101*(N(L7)+N(L8)+IF(L$4=Hypothèses!$B$59,Hypothèses!$B$57+Hypothèses!$B$58,0)+L91)</f>
        <v>60000</v>
      </c>
      <c r="M37" s="22">
        <f>Hypothèses!$B$101*(N(M7)+N(M8)+IF(M$4=Hypothèses!$B$59,Hypothèses!$B$57+Hypothèses!$B$58,0)+M91)</f>
        <v>0</v>
      </c>
      <c r="N37" s="22">
        <f>Hypothèses!$B$101*(N(N7)+N(N8)+IF(N$4=Hypothèses!$B$59,Hypothèses!$B$57+Hypothèses!$B$58,0)+N91)</f>
        <v>0</v>
      </c>
      <c r="O37" s="22">
        <f>Hypothèses!$B$101*(N(O7)+N(O8)+IF(O$4=Hypothèses!$B$59,Hypothèses!$B$57+Hypothèses!$B$58,0)+O91)</f>
        <v>60000</v>
      </c>
      <c r="P37" s="22">
        <f>Hypothèses!$B$101*(N(P7)+N(P8)+IF(P$4=Hypothèses!$B$59,Hypothèses!$B$57+Hypothèses!$B$58,0)+P91)</f>
        <v>0</v>
      </c>
      <c r="Q37" s="22">
        <f>Hypothèses!$B$101*(N(Q7)+N(Q8)+IF(Q$4=Hypothèses!$B$59,Hypothèses!$B$57+Hypothèses!$B$58,0)+Q91)</f>
        <v>0</v>
      </c>
      <c r="R37" s="22">
        <f>Hypothèses!$B$101*(N(R7)+N(R8)+IF(R$4=Hypothèses!$B$59,Hypothèses!$B$57+Hypothèses!$B$58,0)+R91)</f>
        <v>60000</v>
      </c>
      <c r="S37" s="22">
        <f>Hypothèses!$B$101*(N(S7)+N(S8)+IF(S$4=Hypothèses!$B$59,Hypothèses!$B$57+Hypothèses!$B$58,0)+S91)</f>
        <v>0</v>
      </c>
      <c r="T37" s="22">
        <f>Hypothèses!$B$101*(N(T7)+N(T8)+IF(T$4=Hypothèses!$B$59,Hypothèses!$B$57+Hypothèses!$B$58,0)+T91)</f>
        <v>0</v>
      </c>
      <c r="U37" s="22">
        <f>Hypothèses!$B$101*(N(U7)+N(U8)+IF(U$4=Hypothèses!$B$59,Hypothèses!$B$57+Hypothèses!$B$58,0)+U91)</f>
        <v>0</v>
      </c>
      <c r="V37" s="22">
        <f>Hypothèses!$B$101*(N(V7)+N(V8)+IF(V$4=Hypothèses!$B$59,Hypothèses!$B$57+Hypothèses!$B$58,0)+V91)</f>
        <v>0</v>
      </c>
      <c r="W37" s="22">
        <f>Hypothèses!$B$101*(N(W7)+N(W8)+IF(W$4=Hypothèses!$B$59,Hypothèses!$B$57+Hypothèses!$B$58,0)+W91)</f>
        <v>0</v>
      </c>
      <c r="X37" s="22">
        <f>Hypothèses!$B$101*(N(X7)+N(X8)+IF(X$4=Hypothèses!$B$59,Hypothèses!$B$57+Hypothèses!$B$58,0)+X91)</f>
        <v>0</v>
      </c>
      <c r="Y37" s="22">
        <f>Hypothèses!$B$101*(N(Y7)+N(Y8)+IF(Y$4=Hypothèses!$B$59,Hypothèses!$B$57+Hypothèses!$B$58,0)+Y91)</f>
        <v>0</v>
      </c>
      <c r="Z37" s="22">
        <f>Hypothèses!$B$101*(N(Z7)+N(Z8)+IF(Z$4=Hypothèses!$B$59,Hypothèses!$B$57+Hypothèses!$B$58,0)+Z91)</f>
        <v>0</v>
      </c>
      <c r="AA37" s="22">
        <f>Hypothèses!$B$101*(N(AA7)+N(AA8)+IF(AA$4=Hypothèses!$B$59,Hypothèses!$B$57+Hypothèses!$B$58,0)+AA91)</f>
        <v>0</v>
      </c>
      <c r="AB37" s="22">
        <f>Hypothèses!$B$101*(N(AB7)+N(AB8)+IF(AB$4=Hypothèses!$B$59,Hypothèses!$B$57+Hypothèses!$B$58,0)+AB91)</f>
        <v>0</v>
      </c>
      <c r="AC37" s="22">
        <f>Hypothèses!$B$101*(N(AC7)+N(AC8)+IF(AC$4=Hypothèses!$B$59,Hypothèses!$B$57+Hypothèses!$B$58,0)+AC91)</f>
        <v>0</v>
      </c>
      <c r="AD37" s="22">
        <f>Hypothèses!$B$101*(N(AD7)+N(AD8)+IF(AD$4=Hypothèses!$B$59,Hypothèses!$B$57+Hypothèses!$B$58,0)+AD91)</f>
        <v>0</v>
      </c>
      <c r="AE37" s="22">
        <f>Hypothèses!$B$101*(N(AE7)+N(AE8)+IF(AE$4=Hypothèses!$B$59,Hypothèses!$B$57+Hypothèses!$B$58,0)+AE91)</f>
        <v>0</v>
      </c>
      <c r="AF37" s="22">
        <f>Hypothèses!$B$101*(N(AF7)+N(AF8)+IF(AF$4=Hypothèses!$B$59,Hypothèses!$B$57+Hypothèses!$B$58,0)+AF91)</f>
        <v>0</v>
      </c>
      <c r="AG37" s="22">
        <f>Hypothèses!$B$101*(N(AG7)+N(AG8)+IF(AG$4=Hypothèses!$B$59,Hypothèses!$B$57+Hypothèses!$B$58,0)+AG91)</f>
        <v>0</v>
      </c>
      <c r="AH37" s="22">
        <f>Hypothèses!$B$101*(N(AH7)+N(AH8)+IF(AH$4=Hypothèses!$B$59,Hypothèses!$B$57+Hypothèses!$B$58,0)+AH91)</f>
        <v>0</v>
      </c>
      <c r="AI37" s="22">
        <f>Hypothèses!$B$101*(N(AI7)+N(AI8)+IF(AI$4=Hypothèses!$B$59,Hypothèses!$B$57+Hypothèses!$B$58,0)+AI91)</f>
        <v>0</v>
      </c>
      <c r="AJ37" s="22">
        <f>Hypothèses!$B$101*(N(AJ7)+N(AJ8)+IF(AJ$4=Hypothèses!$B$59,Hypothèses!$B$57+Hypothèses!$B$58,0)+AJ91)</f>
        <v>0</v>
      </c>
      <c r="AK37" s="22">
        <f>Hypothèses!$B$101*(N(AK7)+N(AK8)+IF(AK$4=Hypothèses!$B$59,Hypothèses!$B$57+Hypothèses!$B$58,0)+AK91)</f>
        <v>0</v>
      </c>
      <c r="AL37" s="22">
        <f>Hypothèses!$B$101*(N(AL7)+N(AL8)+IF(AL$4=Hypothèses!$B$59,Hypothèses!$B$57+Hypothèses!$B$58,0)+AL91)</f>
        <v>0</v>
      </c>
      <c r="AM37" s="22">
        <f>Hypothèses!$B$101*(N(AM7)+N(AM8)+IF(AM$4=Hypothèses!$B$59,Hypothèses!$B$57+Hypothèses!$B$58,0)+AM91)</f>
        <v>0</v>
      </c>
      <c r="AN37" s="22">
        <f>Hypothèses!$B$101*(N(AN7)+N(AN8)+IF(AN$4=Hypothèses!$B$59,Hypothèses!$B$57+Hypothèses!$B$58,0)+AN91)</f>
        <v>0</v>
      </c>
      <c r="AO37" s="22">
        <f>Hypothèses!$B$101*(N(AO7)+N(AO8)+IF(AO$4=Hypothèses!$B$59,Hypothèses!$B$57+Hypothèses!$B$58,0)+AO91)</f>
        <v>0</v>
      </c>
      <c r="AP37" s="22">
        <f>Hypothèses!$B$101*(N(AP7)+N(AP8)+IF(AP$4=Hypothèses!$B$59,Hypothèses!$B$57+Hypothèses!$B$58,0)+AP91)</f>
        <v>0</v>
      </c>
      <c r="AQ37" s="22">
        <f>Hypothèses!$B$101*(N(AQ7)+N(AQ8)+IF(AQ$4=Hypothèses!$B$59,Hypothèses!$B$57+Hypothèses!$B$58,0)+AQ91)</f>
        <v>0</v>
      </c>
    </row>
    <row r="38" spans="1:43" x14ac:dyDescent="0.3">
      <c r="A38" s="6" t="s">
        <v>443</v>
      </c>
      <c r="B38" s="22">
        <f t="shared" si="8"/>
        <v>0</v>
      </c>
      <c r="C38" s="22">
        <f t="shared" si="9"/>
        <v>91875</v>
      </c>
      <c r="D38" s="22">
        <f t="shared" si="10"/>
        <v>255250</v>
      </c>
      <c r="E38" s="22">
        <f t="shared" si="11"/>
        <v>878250</v>
      </c>
      <c r="F38" s="22">
        <f t="shared" si="12"/>
        <v>1225375</v>
      </c>
      <c r="G38" s="22">
        <v>0</v>
      </c>
      <c r="H38" s="22">
        <f>(H9+H10+IF(H$4&gt;=Hypothèses!$B$59,Hypothèses!$B$57+Hypothèses!$B$58,0)+H87+H88+H89+H90)*Hypothèses!$B$81/12*Hypothèses!$B$82*Hypothèses!$B$80+H105</f>
        <v>6562.5</v>
      </c>
      <c r="I38" s="22">
        <f>(I9+I10+IF(I$4&gt;=Hypothèses!$B$59,Hypothèses!$B$57+Hypothèses!$B$58,0)+I87+I88+I89+I90)*Hypothèses!$B$81/12*Hypothèses!$B$82*Hypothèses!$B$80+I105</f>
        <v>6562.5</v>
      </c>
      <c r="J38" s="22">
        <f>(J9+J10+IF(J$4&gt;=Hypothèses!$B$59,Hypothèses!$B$57+Hypothèses!$B$58,0)+J87+J88+J89+J90)*Hypothèses!$B$81/12*Hypothèses!$B$82*Hypothèses!$B$80+J105</f>
        <v>6562.5</v>
      </c>
      <c r="K38" s="22">
        <f>(K9+K10+IF(K$4&gt;=Hypothèses!$B$59,Hypothèses!$B$57+Hypothèses!$B$58,0)+K87+K88+K89+K90)*Hypothèses!$B$81/12*Hypothèses!$B$82*Hypothèses!$B$80+K105</f>
        <v>6562.5</v>
      </c>
      <c r="L38" s="22">
        <f>(L9+L10+IF(L$4&gt;=Hypothèses!$B$59,Hypothèses!$B$57+Hypothèses!$B$58,0)+L87+L88+L89+L90)*Hypothèses!$B$81/12*Hypothèses!$B$82*Hypothèses!$B$80+L105</f>
        <v>7437.5</v>
      </c>
      <c r="M38" s="22">
        <f>(M9+M10+IF(M$4&gt;=Hypothèses!$B$59,Hypothèses!$B$57+Hypothèses!$B$58,0)+M87+M88+M89+M90)*Hypothèses!$B$81/12*Hypothèses!$B$82*Hypothèses!$B$80+M105</f>
        <v>7437.5</v>
      </c>
      <c r="N38" s="22">
        <f>(N9+N10+IF(N$4&gt;=Hypothèses!$B$59,Hypothèses!$B$57+Hypothèses!$B$58,0)+N87+N88+N89+N90)*Hypothèses!$B$81/12*Hypothèses!$B$82*Hypothèses!$B$80+N105</f>
        <v>7437.5</v>
      </c>
      <c r="O38" s="22">
        <f>(O9+O10+IF(O$4&gt;=Hypothèses!$B$59,Hypothèses!$B$57+Hypothèses!$B$58,0)+O87+O88+O89+O90)*Hypothèses!$B$81/12*Hypothèses!$B$82*Hypothèses!$B$80+O105</f>
        <v>8312.5</v>
      </c>
      <c r="P38" s="22">
        <f>(P9+P10+IF(P$4&gt;=Hypothèses!$B$59,Hypothèses!$B$57+Hypothèses!$B$58,0)+P87+P88+P89+P90)*Hypothèses!$B$81/12*Hypothèses!$B$82*Hypothèses!$B$80+P105</f>
        <v>8312.5</v>
      </c>
      <c r="Q38" s="22">
        <f>(Q9+Q10+IF(Q$4&gt;=Hypothèses!$B$59,Hypothèses!$B$57+Hypothèses!$B$58,0)+Q87+Q88+Q89+Q90)*Hypothèses!$B$81/12*Hypothèses!$B$82*Hypothèses!$B$80+Q105</f>
        <v>8312.5</v>
      </c>
      <c r="R38" s="22">
        <f>(R9+R10+IF(R$4&gt;=Hypothèses!$B$59,Hypothèses!$B$57+Hypothèses!$B$58,0)+R87+R88+R89+R90)*Hypothèses!$B$81/12*Hypothèses!$B$82*Hypothèses!$B$80+R105</f>
        <v>9187.5</v>
      </c>
      <c r="S38" s="22">
        <f>(S9+S10+IF(S$4&gt;=Hypothèses!$B$59,Hypothèses!$B$57+Hypothèses!$B$58,0)+S87+S88+S89+S90)*Hypothèses!$B$81/12*Hypothèses!$B$82*Hypothèses!$B$80+S105</f>
        <v>9187.5</v>
      </c>
      <c r="T38" s="22">
        <f>(T9+T10+IF(T$4&gt;=Hypothèses!$B$59,Hypothèses!$B$57+Hypothèses!$B$58,0)+T87+T88+T89+T90)*Hypothèses!$B$81/12*Hypothèses!$B$82*Hypothèses!$B$80+T105</f>
        <v>154187.5</v>
      </c>
      <c r="U38" s="22">
        <f>(U9+U10+IF(U$4&gt;=Hypothèses!$B$59,Hypothèses!$B$57+Hypothèses!$B$58,0)+U87+U88+U89+U90)*Hypothèses!$B$81/12*Hypothèses!$B$82*Hypothèses!$B$80+U105</f>
        <v>9187.5</v>
      </c>
      <c r="V38" s="22">
        <f>(V9+V10+IF(V$4&gt;=Hypothèses!$B$59,Hypothèses!$B$57+Hypothèses!$B$58,0)+V87+V88+V89+V90)*Hypothèses!$B$81/12*Hypothèses!$B$82*Hypothèses!$B$80+V105</f>
        <v>9187.5</v>
      </c>
      <c r="W38" s="22">
        <f>(W9+W10+IF(W$4&gt;=Hypothèses!$B$59,Hypothèses!$B$57+Hypothèses!$B$58,0)+W87+W88+W89+W90)*Hypothèses!$B$81/12*Hypothèses!$B$82*Hypothèses!$B$80+W105</f>
        <v>9187.5</v>
      </c>
      <c r="X38" s="22">
        <f>(X9+X10+IF(X$4&gt;=Hypothèses!$B$59,Hypothèses!$B$57+Hypothèses!$B$58,0)+X87+X88+X89+X90)*Hypothèses!$B$81/12*Hypothèses!$B$82*Hypothèses!$B$80+X105</f>
        <v>9187.5</v>
      </c>
      <c r="Y38" s="22">
        <f>(Y9+Y10+IF(Y$4&gt;=Hypothèses!$B$59,Hypothèses!$B$57+Hypothèses!$B$58,0)+Y87+Y88+Y89+Y90)*Hypothèses!$B$81/12*Hypothèses!$B$82*Hypothèses!$B$80+Y105</f>
        <v>9187.5</v>
      </c>
      <c r="Z38" s="22">
        <f>(Z9+Z10+IF(Z$4&gt;=Hypothèses!$B$59,Hypothèses!$B$57+Hypothèses!$B$58,0)+Z87+Z88+Z89+Z90)*Hypothèses!$B$81/12*Hypothèses!$B$82*Hypothèses!$B$80+Z105</f>
        <v>9187.5</v>
      </c>
      <c r="AA38" s="22">
        <f>(AA9+AA10+IF(AA$4&gt;=Hypothèses!$B$59,Hypothèses!$B$57+Hypothèses!$B$58,0)+AA87+AA88+AA89+AA90)*Hypothèses!$B$81/12*Hypothèses!$B$82*Hypothèses!$B$80+AA105</f>
        <v>9187.5</v>
      </c>
      <c r="AB38" s="22">
        <f>(AB9+AB10+IF(AB$4&gt;=Hypothèses!$B$59,Hypothèses!$B$57+Hypothèses!$B$58,0)+AB87+AB88+AB89+AB90)*Hypothèses!$B$81/12*Hypothèses!$B$82*Hypothèses!$B$80+AB105</f>
        <v>9187.5</v>
      </c>
      <c r="AC38" s="22">
        <f>(AC9+AC10+IF(AC$4&gt;=Hypothèses!$B$59,Hypothèses!$B$57+Hypothèses!$B$58,0)+AC87+AC88+AC89+AC90)*Hypothèses!$B$81/12*Hypothèses!$B$82*Hypothèses!$B$80+AC105</f>
        <v>9187.5</v>
      </c>
      <c r="AD38" s="22">
        <f>(AD9+AD10+IF(AD$4&gt;=Hypothèses!$B$59,Hypothèses!$B$57+Hypothèses!$B$58,0)+AD87+AD88+AD89+AD90)*Hypothèses!$B$81/12*Hypothèses!$B$82*Hypothèses!$B$80+AD105</f>
        <v>9187.5</v>
      </c>
      <c r="AE38" s="22">
        <f>(AE9+AE10+IF(AE$4&gt;=Hypothèses!$B$59,Hypothèses!$B$57+Hypothèses!$B$58,0)+AE87+AE88+AE89+AE90)*Hypothèses!$B$81/12*Hypothèses!$B$82*Hypothèses!$B$80+AE105</f>
        <v>9187.5</v>
      </c>
      <c r="AF38" s="22">
        <f>(AF9+AF10+IF(AF$4&gt;=Hypothèses!$B$59,Hypothèses!$B$57+Hypothèses!$B$58,0)+AF87+AF88+AF89+AF90)*Hypothèses!$B$81/12*Hypothèses!$B$82*Hypothèses!$B$80+AF105</f>
        <v>489187.5</v>
      </c>
      <c r="AG38" s="22">
        <f>(AG9+AG10+IF(AG$4&gt;=Hypothèses!$B$59,Hypothèses!$B$57+Hypothèses!$B$58,0)+AG87+AG88+AG89+AG90)*Hypothèses!$B$81/12*Hypothèses!$B$82*Hypothèses!$B$80+AG105</f>
        <v>9187.5</v>
      </c>
      <c r="AH38" s="22">
        <f>(AH9+AH10+IF(AH$4&gt;=Hypothèses!$B$59,Hypothèses!$B$57+Hypothèses!$B$58,0)+AH87+AH88+AH89+AH90)*Hypothèses!$B$81/12*Hypothèses!$B$82*Hypothèses!$B$80+AH105</f>
        <v>9187.5</v>
      </c>
      <c r="AI38" s="22">
        <f>(AI9+AI10+IF(AI$4&gt;=Hypothèses!$B$59,Hypothèses!$B$57+Hypothèses!$B$58,0)+AI87+AI88+AI89+AI90)*Hypothèses!$B$81/12*Hypothèses!$B$82*Hypothèses!$B$80+AI105</f>
        <v>9187.5</v>
      </c>
      <c r="AJ38" s="22">
        <f>(AJ9+AJ10+IF(AJ$4&gt;=Hypothèses!$B$59,Hypothèses!$B$57+Hypothèses!$B$58,0)+AJ87+AJ88+AJ89+AJ90)*Hypothèses!$B$81/12*Hypothèses!$B$82*Hypothèses!$B$80+AJ105</f>
        <v>105187.5</v>
      </c>
      <c r="AK38" s="22">
        <f>(AK9+AK10+IF(AK$4&gt;=Hypothèses!$B$59,Hypothèses!$B$57+Hypothèses!$B$58,0)+AK87+AK88+AK89+AK90)*Hypothèses!$B$81/12*Hypothèses!$B$82*Hypothèses!$B$80+AK105</f>
        <v>9187.5</v>
      </c>
      <c r="AL38" s="22">
        <f>(AL9+AL10+IF(AL$4&gt;=Hypothèses!$B$59,Hypothèses!$B$57+Hypothèses!$B$58,0)+AL87+AL88+AL89+AL90)*Hypothèses!$B$81/12*Hypothèses!$B$82*Hypothèses!$B$80+AL105</f>
        <v>9187.5</v>
      </c>
      <c r="AM38" s="22">
        <f>(AM9+AM10+IF(AM$4&gt;=Hypothèses!$B$59,Hypothèses!$B$57+Hypothèses!$B$58,0)+AM87+AM88+AM89+AM90)*Hypothèses!$B$81/12*Hypothèses!$B$82*Hypothèses!$B$80+AM105</f>
        <v>105187.5</v>
      </c>
      <c r="AN38" s="22">
        <f>(AN9+AN10+IF(AN$4&gt;=Hypothèses!$B$59,Hypothèses!$B$57+Hypothèses!$B$58,0)+AN87+AN88+AN89+AN90)*Hypothèses!$B$81/12*Hypothèses!$B$82*Hypothèses!$B$80+AN105</f>
        <v>9187.5</v>
      </c>
      <c r="AO38" s="22">
        <f>(AO9+AO10+IF(AO$4&gt;=Hypothèses!$B$59,Hypothèses!$B$57+Hypothèses!$B$58,0)+AO87+AO88+AO89+AO90)*Hypothèses!$B$81/12*Hypothèses!$B$82*Hypothèses!$B$80+AO105</f>
        <v>9187.5</v>
      </c>
      <c r="AP38" s="22">
        <f>(AP9+AP10+IF(AP$4&gt;=Hypothèses!$B$59,Hypothèses!$B$57+Hypothèses!$B$58,0)+AP87+AP88+AP89+AP90)*Hypothèses!$B$81/12*Hypothèses!$B$82*Hypothèses!$B$80+AP105</f>
        <v>105187.5</v>
      </c>
      <c r="AQ38" s="22">
        <f>(AQ9+AQ10+IF(AQ$4&gt;=Hypothèses!$B$59,Hypothèses!$B$57+Hypothèses!$B$58,0)+AQ87+AQ88+AQ89+AQ90)*Hypothèses!$B$81/12*Hypothèses!$B$82*Hypothèses!$B$80+AQ105</f>
        <v>9187.5</v>
      </c>
    </row>
    <row r="39" spans="1:43" x14ac:dyDescent="0.3">
      <c r="A39" s="8" t="s">
        <v>358</v>
      </c>
      <c r="B39" s="23">
        <f t="shared" si="8"/>
        <v>0</v>
      </c>
      <c r="C39" s="23">
        <f t="shared" si="9"/>
        <v>8957111</v>
      </c>
      <c r="D39" s="23">
        <f t="shared" si="10"/>
        <v>10161250</v>
      </c>
      <c r="E39" s="23">
        <f t="shared" si="11"/>
        <v>10784250</v>
      </c>
      <c r="F39" s="23">
        <f t="shared" si="12"/>
        <v>29902611</v>
      </c>
      <c r="G39" s="23">
        <f t="shared" ref="G39:AQ39" si="13">SUM(G23:G38)</f>
        <v>0</v>
      </c>
      <c r="H39" s="23">
        <f t="shared" si="13"/>
        <v>1140371.5</v>
      </c>
      <c r="I39" s="23">
        <f t="shared" si="13"/>
        <v>690371.5</v>
      </c>
      <c r="J39" s="23">
        <f t="shared" si="13"/>
        <v>815371.5</v>
      </c>
      <c r="K39" s="23">
        <f t="shared" si="13"/>
        <v>690371.5</v>
      </c>
      <c r="L39" s="23">
        <f t="shared" si="13"/>
        <v>767437.5</v>
      </c>
      <c r="M39" s="23">
        <f t="shared" si="13"/>
        <v>832437.5</v>
      </c>
      <c r="N39" s="23">
        <f t="shared" si="13"/>
        <v>607437.5</v>
      </c>
      <c r="O39" s="23">
        <f t="shared" si="13"/>
        <v>668312.5</v>
      </c>
      <c r="P39" s="23">
        <f t="shared" si="13"/>
        <v>733312.5</v>
      </c>
      <c r="Q39" s="23">
        <f t="shared" si="13"/>
        <v>608312.5</v>
      </c>
      <c r="R39" s="23">
        <f t="shared" si="13"/>
        <v>669187.5</v>
      </c>
      <c r="S39" s="23">
        <f t="shared" si="13"/>
        <v>734187.5</v>
      </c>
      <c r="T39" s="23">
        <f t="shared" si="13"/>
        <v>1331187.5</v>
      </c>
      <c r="U39" s="23">
        <f t="shared" si="13"/>
        <v>734187.5</v>
      </c>
      <c r="V39" s="23">
        <f t="shared" si="13"/>
        <v>859187.5</v>
      </c>
      <c r="W39" s="23">
        <f t="shared" si="13"/>
        <v>988187.5</v>
      </c>
      <c r="X39" s="23">
        <f t="shared" si="13"/>
        <v>734187.5</v>
      </c>
      <c r="Y39" s="23">
        <f t="shared" si="13"/>
        <v>859187.5</v>
      </c>
      <c r="Z39" s="23">
        <f t="shared" si="13"/>
        <v>734187.5</v>
      </c>
      <c r="AA39" s="23">
        <f t="shared" si="13"/>
        <v>734187.5</v>
      </c>
      <c r="AB39" s="23">
        <f t="shared" si="13"/>
        <v>859187.5</v>
      </c>
      <c r="AC39" s="23">
        <f t="shared" si="13"/>
        <v>734187.5</v>
      </c>
      <c r="AD39" s="23">
        <f t="shared" si="13"/>
        <v>734187.5</v>
      </c>
      <c r="AE39" s="23">
        <f t="shared" si="13"/>
        <v>859187.5</v>
      </c>
      <c r="AF39" s="23">
        <f t="shared" si="13"/>
        <v>1666187.5</v>
      </c>
      <c r="AG39" s="23">
        <f t="shared" si="13"/>
        <v>734187.5</v>
      </c>
      <c r="AH39" s="23">
        <f t="shared" si="13"/>
        <v>859187.5</v>
      </c>
      <c r="AI39" s="23">
        <f t="shared" si="13"/>
        <v>988187.5</v>
      </c>
      <c r="AJ39" s="23">
        <f t="shared" si="13"/>
        <v>830187.5</v>
      </c>
      <c r="AK39" s="23">
        <f t="shared" si="13"/>
        <v>859187.5</v>
      </c>
      <c r="AL39" s="23">
        <f t="shared" si="13"/>
        <v>734187.5</v>
      </c>
      <c r="AM39" s="23">
        <f t="shared" si="13"/>
        <v>830187.5</v>
      </c>
      <c r="AN39" s="23">
        <f t="shared" si="13"/>
        <v>859187.5</v>
      </c>
      <c r="AO39" s="23">
        <f t="shared" si="13"/>
        <v>734187.5</v>
      </c>
      <c r="AP39" s="23">
        <f t="shared" si="13"/>
        <v>830187.5</v>
      </c>
      <c r="AQ39" s="23">
        <f t="shared" si="13"/>
        <v>859187.5</v>
      </c>
    </row>
    <row r="41" spans="1:43" x14ac:dyDescent="0.3">
      <c r="A41" s="4" t="s">
        <v>359</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row>
    <row r="42" spans="1:43" x14ac:dyDescent="0.3">
      <c r="A42" s="6" t="s">
        <v>315</v>
      </c>
      <c r="B42" s="22">
        <f>G42</f>
        <v>0</v>
      </c>
      <c r="C42" s="22">
        <f>SUM(H42:S42)</f>
        <v>465000</v>
      </c>
      <c r="D42" s="22">
        <f>SUM(T42:AE42)</f>
        <v>0</v>
      </c>
      <c r="E42" s="22">
        <f>SUM(AF42:AQ42)</f>
        <v>0</v>
      </c>
      <c r="F42" s="22">
        <f>SUM(B42:E42)</f>
        <v>465000</v>
      </c>
      <c r="G42" s="22">
        <f>G7*Hypothèses!$B$9*Hypothèses!$B$10</f>
        <v>0</v>
      </c>
      <c r="H42" s="22">
        <f>H7*Hypothèses!$B$9*Hypothèses!$B$10</f>
        <v>465000</v>
      </c>
      <c r="I42" s="22">
        <f>I7*Hypothèses!$B$9*Hypothèses!$B$10</f>
        <v>0</v>
      </c>
      <c r="J42" s="22">
        <f>J7*Hypothèses!$B$9*Hypothèses!$B$10</f>
        <v>0</v>
      </c>
      <c r="K42" s="22">
        <f>K7*Hypothèses!$B$9*Hypothèses!$B$10</f>
        <v>0</v>
      </c>
      <c r="L42" s="22">
        <f>L7*Hypothèses!$B$9*Hypothèses!$B$10</f>
        <v>0</v>
      </c>
      <c r="M42" s="22">
        <f>M7*Hypothèses!$B$9*Hypothèses!$B$10</f>
        <v>0</v>
      </c>
      <c r="N42" s="22">
        <f>N7*Hypothèses!$B$9*Hypothèses!$B$10</f>
        <v>0</v>
      </c>
      <c r="O42" s="22">
        <f>O7*Hypothèses!$B$9*Hypothèses!$B$10</f>
        <v>0</v>
      </c>
      <c r="P42" s="22">
        <f>P7*Hypothèses!$B$9*Hypothèses!$B$10</f>
        <v>0</v>
      </c>
      <c r="Q42" s="22">
        <f>Q7*Hypothèses!$B$9*Hypothèses!$B$10</f>
        <v>0</v>
      </c>
      <c r="R42" s="22">
        <f>R7*Hypothèses!$B$9*Hypothèses!$B$10</f>
        <v>0</v>
      </c>
      <c r="S42" s="22">
        <f>S7*Hypothèses!$B$9*Hypothèses!$B$10</f>
        <v>0</v>
      </c>
      <c r="T42" s="22">
        <f>T7*Hypothèses!$B$9*Hypothèses!$B$10</f>
        <v>0</v>
      </c>
      <c r="U42" s="22">
        <f>U7*Hypothèses!$B$9*Hypothèses!$B$10</f>
        <v>0</v>
      </c>
      <c r="V42" s="22">
        <f>V7*Hypothèses!$B$9*Hypothèses!$B$10</f>
        <v>0</v>
      </c>
      <c r="W42" s="22">
        <f>W7*Hypothèses!$B$9*Hypothèses!$B$10</f>
        <v>0</v>
      </c>
      <c r="X42" s="22">
        <f>X7*Hypothèses!$B$9*Hypothèses!$B$10</f>
        <v>0</v>
      </c>
      <c r="Y42" s="22">
        <f>Y7*Hypothèses!$B$9*Hypothèses!$B$10</f>
        <v>0</v>
      </c>
      <c r="Z42" s="22">
        <f>Z7*Hypothèses!$B$9*Hypothèses!$B$10</f>
        <v>0</v>
      </c>
      <c r="AA42" s="22">
        <f>AA7*Hypothèses!$B$9*Hypothèses!$B$10</f>
        <v>0</v>
      </c>
      <c r="AB42" s="22">
        <f>AB7*Hypothèses!$B$9*Hypothèses!$B$10</f>
        <v>0</v>
      </c>
      <c r="AC42" s="22">
        <f>AC7*Hypothèses!$B$9*Hypothèses!$B$10</f>
        <v>0</v>
      </c>
      <c r="AD42" s="22">
        <f>AD7*Hypothèses!$B$9*Hypothèses!$B$10</f>
        <v>0</v>
      </c>
      <c r="AE42" s="22">
        <f>AE7*Hypothèses!$B$9*Hypothèses!$B$10</f>
        <v>0</v>
      </c>
      <c r="AF42" s="22">
        <f>AF7*Hypothèses!$B$9*Hypothèses!$B$10</f>
        <v>0</v>
      </c>
      <c r="AG42" s="22">
        <f>AG7*Hypothèses!$B$9*Hypothèses!$B$10</f>
        <v>0</v>
      </c>
      <c r="AH42" s="22">
        <f>AH7*Hypothèses!$B$9*Hypothèses!$B$10</f>
        <v>0</v>
      </c>
      <c r="AI42" s="22">
        <f>AI7*Hypothèses!$B$9*Hypothèses!$B$10</f>
        <v>0</v>
      </c>
      <c r="AJ42" s="22">
        <f>AJ7*Hypothèses!$B$9*Hypothèses!$B$10</f>
        <v>0</v>
      </c>
      <c r="AK42" s="22">
        <f>AK7*Hypothèses!$B$9*Hypothèses!$B$10</f>
        <v>0</v>
      </c>
      <c r="AL42" s="22">
        <f>AL7*Hypothèses!$B$9*Hypothèses!$B$10</f>
        <v>0</v>
      </c>
      <c r="AM42" s="22">
        <f>AM7*Hypothèses!$B$9*Hypothèses!$B$10</f>
        <v>0</v>
      </c>
      <c r="AN42" s="22">
        <f>AN7*Hypothèses!$B$9*Hypothèses!$B$10</f>
        <v>0</v>
      </c>
      <c r="AO42" s="22">
        <f>AO7*Hypothèses!$B$9*Hypothèses!$B$10</f>
        <v>0</v>
      </c>
      <c r="AP42" s="22">
        <f>AP7*Hypothèses!$B$9*Hypothèses!$B$10</f>
        <v>0</v>
      </c>
      <c r="AQ42" s="22">
        <f>AQ7*Hypothèses!$B$9*Hypothèses!$B$10</f>
        <v>0</v>
      </c>
    </row>
    <row r="43" spans="1:43" x14ac:dyDescent="0.3">
      <c r="A43" s="6" t="s">
        <v>444</v>
      </c>
      <c r="B43" s="22">
        <f>G43</f>
        <v>0</v>
      </c>
      <c r="C43" s="22">
        <f>SUM(H43:S43)</f>
        <v>994583.33333333314</v>
      </c>
      <c r="D43" s="22">
        <f>SUM(T43:AE43)</f>
        <v>90416.666666666672</v>
      </c>
      <c r="E43" s="22">
        <f>SUM(AF43:AQ43)</f>
        <v>0</v>
      </c>
      <c r="F43" s="22">
        <f>SUM(B43:E43)</f>
        <v>1084999.9999999998</v>
      </c>
      <c r="G43" s="22">
        <f>SUMPRODUCT(($G$4:$AQ$4&lt;G$4)*($G$4:$AQ$4&gt;=G$4-Hypothèses!$B$11)*$G$7:$AQ$7)*Hypothèses!$B$9*(1-Hypothèses!$B$10)/Hypothèses!$B$11</f>
        <v>0</v>
      </c>
      <c r="H43" s="22">
        <f>SUMPRODUCT(($G$4:$AQ$4&lt;H$4)*($G$4:$AQ$4&gt;=H$4-Hypothèses!$B$11)*$G$7:$AQ$7)*Hypothèses!$B$9*(1-Hypothèses!$B$10)/Hypothèses!$B$11</f>
        <v>0</v>
      </c>
      <c r="I43" s="22">
        <f>SUMPRODUCT(($G$4:$AQ$4&lt;I$4)*($G$4:$AQ$4&gt;=I$4-Hypothèses!$B$11)*$G$7:$AQ$7)*Hypothèses!$B$9*(1-Hypothèses!$B$10)/Hypothèses!$B$11</f>
        <v>90416.666666666672</v>
      </c>
      <c r="J43" s="22">
        <f>SUMPRODUCT(($G$4:$AQ$4&lt;J$4)*($G$4:$AQ$4&gt;=J$4-Hypothèses!$B$11)*$G$7:$AQ$7)*Hypothèses!$B$9*(1-Hypothèses!$B$10)/Hypothèses!$B$11</f>
        <v>90416.666666666672</v>
      </c>
      <c r="K43" s="22">
        <f>SUMPRODUCT(($G$4:$AQ$4&lt;K$4)*($G$4:$AQ$4&gt;=K$4-Hypothèses!$B$11)*$G$7:$AQ$7)*Hypothèses!$B$9*(1-Hypothèses!$B$10)/Hypothèses!$B$11</f>
        <v>90416.666666666672</v>
      </c>
      <c r="L43" s="22">
        <f>SUMPRODUCT(($G$4:$AQ$4&lt;L$4)*($G$4:$AQ$4&gt;=L$4-Hypothèses!$B$11)*$G$7:$AQ$7)*Hypothèses!$B$9*(1-Hypothèses!$B$10)/Hypothèses!$B$11</f>
        <v>90416.666666666672</v>
      </c>
      <c r="M43" s="22">
        <f>SUMPRODUCT(($G$4:$AQ$4&lt;M$4)*($G$4:$AQ$4&gt;=M$4-Hypothèses!$B$11)*$G$7:$AQ$7)*Hypothèses!$B$9*(1-Hypothèses!$B$10)/Hypothèses!$B$11</f>
        <v>90416.666666666672</v>
      </c>
      <c r="N43" s="22">
        <f>SUMPRODUCT(($G$4:$AQ$4&lt;N$4)*($G$4:$AQ$4&gt;=N$4-Hypothèses!$B$11)*$G$7:$AQ$7)*Hypothèses!$B$9*(1-Hypothèses!$B$10)/Hypothèses!$B$11</f>
        <v>90416.666666666672</v>
      </c>
      <c r="O43" s="22">
        <f>SUMPRODUCT(($G$4:$AQ$4&lt;O$4)*($G$4:$AQ$4&gt;=O$4-Hypothèses!$B$11)*$G$7:$AQ$7)*Hypothèses!$B$9*(1-Hypothèses!$B$10)/Hypothèses!$B$11</f>
        <v>90416.666666666672</v>
      </c>
      <c r="P43" s="22">
        <f>SUMPRODUCT(($G$4:$AQ$4&lt;P$4)*($G$4:$AQ$4&gt;=P$4-Hypothèses!$B$11)*$G$7:$AQ$7)*Hypothèses!$B$9*(1-Hypothèses!$B$10)/Hypothèses!$B$11</f>
        <v>90416.666666666672</v>
      </c>
      <c r="Q43" s="22">
        <f>SUMPRODUCT(($G$4:$AQ$4&lt;Q$4)*($G$4:$AQ$4&gt;=Q$4-Hypothèses!$B$11)*$G$7:$AQ$7)*Hypothèses!$B$9*(1-Hypothèses!$B$10)/Hypothèses!$B$11</f>
        <v>90416.666666666672</v>
      </c>
      <c r="R43" s="22">
        <f>SUMPRODUCT(($G$4:$AQ$4&lt;R$4)*($G$4:$AQ$4&gt;=R$4-Hypothèses!$B$11)*$G$7:$AQ$7)*Hypothèses!$B$9*(1-Hypothèses!$B$10)/Hypothèses!$B$11</f>
        <v>90416.666666666672</v>
      </c>
      <c r="S43" s="22">
        <f>SUMPRODUCT(($G$4:$AQ$4&lt;S$4)*($G$4:$AQ$4&gt;=S$4-Hypothèses!$B$11)*$G$7:$AQ$7)*Hypothèses!$B$9*(1-Hypothèses!$B$10)/Hypothèses!$B$11</f>
        <v>90416.666666666672</v>
      </c>
      <c r="T43" s="22">
        <f>SUMPRODUCT(($G$4:$AQ$4&lt;T$4)*($G$4:$AQ$4&gt;=T$4-Hypothèses!$B$11)*$G$7:$AQ$7)*Hypothèses!$B$9*(1-Hypothèses!$B$10)/Hypothèses!$B$11</f>
        <v>90416.666666666672</v>
      </c>
      <c r="U43" s="22">
        <f>SUMPRODUCT(($G$4:$AQ$4&lt;U$4)*($G$4:$AQ$4&gt;=U$4-Hypothèses!$B$11)*$G$7:$AQ$7)*Hypothèses!$B$9*(1-Hypothèses!$B$10)/Hypothèses!$B$11</f>
        <v>0</v>
      </c>
      <c r="V43" s="22">
        <f>SUMPRODUCT(($G$4:$AQ$4&lt;V$4)*($G$4:$AQ$4&gt;=V$4-Hypothèses!$B$11)*$G$7:$AQ$7)*Hypothèses!$B$9*(1-Hypothèses!$B$10)/Hypothèses!$B$11</f>
        <v>0</v>
      </c>
      <c r="W43" s="22">
        <f>SUMPRODUCT(($G$4:$AQ$4&lt;W$4)*($G$4:$AQ$4&gt;=W$4-Hypothèses!$B$11)*$G$7:$AQ$7)*Hypothèses!$B$9*(1-Hypothèses!$B$10)/Hypothèses!$B$11</f>
        <v>0</v>
      </c>
      <c r="X43" s="22">
        <f>SUMPRODUCT(($G$4:$AQ$4&lt;X$4)*($G$4:$AQ$4&gt;=X$4-Hypothèses!$B$11)*$G$7:$AQ$7)*Hypothèses!$B$9*(1-Hypothèses!$B$10)/Hypothèses!$B$11</f>
        <v>0</v>
      </c>
      <c r="Y43" s="22">
        <f>SUMPRODUCT(($G$4:$AQ$4&lt;Y$4)*($G$4:$AQ$4&gt;=Y$4-Hypothèses!$B$11)*$G$7:$AQ$7)*Hypothèses!$B$9*(1-Hypothèses!$B$10)/Hypothèses!$B$11</f>
        <v>0</v>
      </c>
      <c r="Z43" s="22">
        <f>SUMPRODUCT(($G$4:$AQ$4&lt;Z$4)*($G$4:$AQ$4&gt;=Z$4-Hypothèses!$B$11)*$G$7:$AQ$7)*Hypothèses!$B$9*(1-Hypothèses!$B$10)/Hypothèses!$B$11</f>
        <v>0</v>
      </c>
      <c r="AA43" s="22">
        <f>SUMPRODUCT(($G$4:$AQ$4&lt;AA$4)*($G$4:$AQ$4&gt;=AA$4-Hypothèses!$B$11)*$G$7:$AQ$7)*Hypothèses!$B$9*(1-Hypothèses!$B$10)/Hypothèses!$B$11</f>
        <v>0</v>
      </c>
      <c r="AB43" s="22">
        <f>SUMPRODUCT(($G$4:$AQ$4&lt;AB$4)*($G$4:$AQ$4&gt;=AB$4-Hypothèses!$B$11)*$G$7:$AQ$7)*Hypothèses!$B$9*(1-Hypothèses!$B$10)/Hypothèses!$B$11</f>
        <v>0</v>
      </c>
      <c r="AC43" s="22">
        <f>SUMPRODUCT(($G$4:$AQ$4&lt;AC$4)*($G$4:$AQ$4&gt;=AC$4-Hypothèses!$B$11)*$G$7:$AQ$7)*Hypothèses!$B$9*(1-Hypothèses!$B$10)/Hypothèses!$B$11</f>
        <v>0</v>
      </c>
      <c r="AD43" s="22">
        <f>SUMPRODUCT(($G$4:$AQ$4&lt;AD$4)*($G$4:$AQ$4&gt;=AD$4-Hypothèses!$B$11)*$G$7:$AQ$7)*Hypothèses!$B$9*(1-Hypothèses!$B$10)/Hypothèses!$B$11</f>
        <v>0</v>
      </c>
      <c r="AE43" s="22">
        <f>SUMPRODUCT(($G$4:$AQ$4&lt;AE$4)*($G$4:$AQ$4&gt;=AE$4-Hypothèses!$B$11)*$G$7:$AQ$7)*Hypothèses!$B$9*(1-Hypothèses!$B$10)/Hypothèses!$B$11</f>
        <v>0</v>
      </c>
      <c r="AF43" s="22">
        <f>SUMPRODUCT(($G$4:$AQ$4&lt;AF$4)*($G$4:$AQ$4&gt;=AF$4-Hypothèses!$B$11)*$G$7:$AQ$7)*Hypothèses!$B$9*(1-Hypothèses!$B$10)/Hypothèses!$B$11</f>
        <v>0</v>
      </c>
      <c r="AG43" s="22">
        <f>SUMPRODUCT(($G$4:$AQ$4&lt;AG$4)*($G$4:$AQ$4&gt;=AG$4-Hypothèses!$B$11)*$G$7:$AQ$7)*Hypothèses!$B$9*(1-Hypothèses!$B$10)/Hypothèses!$B$11</f>
        <v>0</v>
      </c>
      <c r="AH43" s="22">
        <f>SUMPRODUCT(($G$4:$AQ$4&lt;AH$4)*($G$4:$AQ$4&gt;=AH$4-Hypothèses!$B$11)*$G$7:$AQ$7)*Hypothèses!$B$9*(1-Hypothèses!$B$10)/Hypothèses!$B$11</f>
        <v>0</v>
      </c>
      <c r="AI43" s="22">
        <f>SUMPRODUCT(($G$4:$AQ$4&lt;AI$4)*($G$4:$AQ$4&gt;=AI$4-Hypothèses!$B$11)*$G$7:$AQ$7)*Hypothèses!$B$9*(1-Hypothèses!$B$10)/Hypothèses!$B$11</f>
        <v>0</v>
      </c>
      <c r="AJ43" s="22">
        <f>SUMPRODUCT(($G$4:$AQ$4&lt;AJ$4)*($G$4:$AQ$4&gt;=AJ$4-Hypothèses!$B$11)*$G$7:$AQ$7)*Hypothèses!$B$9*(1-Hypothèses!$B$10)/Hypothèses!$B$11</f>
        <v>0</v>
      </c>
      <c r="AK43" s="22">
        <f>SUMPRODUCT(($G$4:$AQ$4&lt;AK$4)*($G$4:$AQ$4&gt;=AK$4-Hypothèses!$B$11)*$G$7:$AQ$7)*Hypothèses!$B$9*(1-Hypothèses!$B$10)/Hypothèses!$B$11</f>
        <v>0</v>
      </c>
      <c r="AL43" s="22">
        <f>SUMPRODUCT(($G$4:$AQ$4&lt;AL$4)*($G$4:$AQ$4&gt;=AL$4-Hypothèses!$B$11)*$G$7:$AQ$7)*Hypothèses!$B$9*(1-Hypothèses!$B$10)/Hypothèses!$B$11</f>
        <v>0</v>
      </c>
      <c r="AM43" s="22">
        <f>SUMPRODUCT(($G$4:$AQ$4&lt;AM$4)*($G$4:$AQ$4&gt;=AM$4-Hypothèses!$B$11)*$G$7:$AQ$7)*Hypothèses!$B$9*(1-Hypothèses!$B$10)/Hypothèses!$B$11</f>
        <v>0</v>
      </c>
      <c r="AN43" s="22">
        <f>SUMPRODUCT(($G$4:$AQ$4&lt;AN$4)*($G$4:$AQ$4&gt;=AN$4-Hypothèses!$B$11)*$G$7:$AQ$7)*Hypothèses!$B$9*(1-Hypothèses!$B$10)/Hypothèses!$B$11</f>
        <v>0</v>
      </c>
      <c r="AO43" s="22">
        <f>SUMPRODUCT(($G$4:$AQ$4&lt;AO$4)*($G$4:$AQ$4&gt;=AO$4-Hypothèses!$B$11)*$G$7:$AQ$7)*Hypothèses!$B$9*(1-Hypothèses!$B$10)/Hypothèses!$B$11</f>
        <v>0</v>
      </c>
      <c r="AP43" s="22">
        <f>SUMPRODUCT(($G$4:$AQ$4&lt;AP$4)*($G$4:$AQ$4&gt;=AP$4-Hypothèses!$B$11)*$G$7:$AQ$7)*Hypothèses!$B$9*(1-Hypothèses!$B$10)/Hypothèses!$B$11</f>
        <v>0</v>
      </c>
      <c r="AQ43" s="22">
        <f>SUMPRODUCT(($G$4:$AQ$4&lt;AQ$4)*($G$4:$AQ$4&gt;=AQ$4-Hypothèses!$B$11)*$G$7:$AQ$7)*Hypothèses!$B$9*(1-Hypothèses!$B$10)/Hypothèses!$B$11</f>
        <v>0</v>
      </c>
    </row>
    <row r="44" spans="1:43" x14ac:dyDescent="0.3">
      <c r="A44" s="6" t="s">
        <v>317</v>
      </c>
      <c r="B44" s="22">
        <f>G44</f>
        <v>0</v>
      </c>
      <c r="C44" s="22">
        <f>SUM(H44:S44)</f>
        <v>2375000</v>
      </c>
      <c r="D44" s="22">
        <f>SUM(T44:AE44)</f>
        <v>0</v>
      </c>
      <c r="E44" s="22">
        <f>SUM(AF44:AQ44)</f>
        <v>0</v>
      </c>
      <c r="F44" s="22">
        <f>SUM(B44:E44)</f>
        <v>2375000</v>
      </c>
      <c r="G44" s="22">
        <f>G8*Hypothèses!$B$12</f>
        <v>0</v>
      </c>
      <c r="H44" s="22">
        <f>H8*Hypothèses!$B$12</f>
        <v>2375000</v>
      </c>
      <c r="I44" s="22">
        <f>I8*Hypothèses!$B$12</f>
        <v>0</v>
      </c>
      <c r="J44" s="22">
        <f>J8*Hypothèses!$B$12</f>
        <v>0</v>
      </c>
      <c r="K44" s="22">
        <f>K8*Hypothèses!$B$12</f>
        <v>0</v>
      </c>
      <c r="L44" s="22">
        <f>L8*Hypothèses!$B$12</f>
        <v>0</v>
      </c>
      <c r="M44" s="22">
        <f>M8*Hypothèses!$B$12</f>
        <v>0</v>
      </c>
      <c r="N44" s="22">
        <f>N8*Hypothèses!$B$12</f>
        <v>0</v>
      </c>
      <c r="O44" s="22">
        <f>O8*Hypothèses!$B$12</f>
        <v>0</v>
      </c>
      <c r="P44" s="22">
        <f>P8*Hypothèses!$B$12</f>
        <v>0</v>
      </c>
      <c r="Q44" s="22">
        <f>Q8*Hypothèses!$B$12</f>
        <v>0</v>
      </c>
      <c r="R44" s="22">
        <f>R8*Hypothèses!$B$12</f>
        <v>0</v>
      </c>
      <c r="S44" s="22">
        <f>S8*Hypothèses!$B$12</f>
        <v>0</v>
      </c>
      <c r="T44" s="22">
        <f>T8*Hypothèses!$B$12</f>
        <v>0</v>
      </c>
      <c r="U44" s="22">
        <f>U8*Hypothèses!$B$12</f>
        <v>0</v>
      </c>
      <c r="V44" s="22">
        <f>V8*Hypothèses!$B$12</f>
        <v>0</v>
      </c>
      <c r="W44" s="22">
        <f>W8*Hypothèses!$B$12</f>
        <v>0</v>
      </c>
      <c r="X44" s="22">
        <f>X8*Hypothèses!$B$12</f>
        <v>0</v>
      </c>
      <c r="Y44" s="22">
        <f>Y8*Hypothèses!$B$12</f>
        <v>0</v>
      </c>
      <c r="Z44" s="22">
        <f>Z8*Hypothèses!$B$12</f>
        <v>0</v>
      </c>
      <c r="AA44" s="22">
        <f>AA8*Hypothèses!$B$12</f>
        <v>0</v>
      </c>
      <c r="AB44" s="22">
        <f>AB8*Hypothèses!$B$12</f>
        <v>0</v>
      </c>
      <c r="AC44" s="22">
        <f>AC8*Hypothèses!$B$12</f>
        <v>0</v>
      </c>
      <c r="AD44" s="22">
        <f>AD8*Hypothèses!$B$12</f>
        <v>0</v>
      </c>
      <c r="AE44" s="22">
        <f>AE8*Hypothèses!$B$12</f>
        <v>0</v>
      </c>
      <c r="AF44" s="22">
        <f>AF8*Hypothèses!$B$12</f>
        <v>0</v>
      </c>
      <c r="AG44" s="22">
        <f>AG8*Hypothèses!$B$12</f>
        <v>0</v>
      </c>
      <c r="AH44" s="22">
        <f>AH8*Hypothèses!$B$12</f>
        <v>0</v>
      </c>
      <c r="AI44" s="22">
        <f>AI8*Hypothèses!$B$12</f>
        <v>0</v>
      </c>
      <c r="AJ44" s="22">
        <f>AJ8*Hypothèses!$B$12</f>
        <v>0</v>
      </c>
      <c r="AK44" s="22">
        <f>AK8*Hypothèses!$B$12</f>
        <v>0</v>
      </c>
      <c r="AL44" s="22">
        <f>AL8*Hypothèses!$B$12</f>
        <v>0</v>
      </c>
      <c r="AM44" s="22">
        <f>AM8*Hypothèses!$B$12</f>
        <v>0</v>
      </c>
      <c r="AN44" s="22">
        <f>AN8*Hypothèses!$B$12</f>
        <v>0</v>
      </c>
      <c r="AO44" s="22">
        <f>AO8*Hypothèses!$B$12</f>
        <v>0</v>
      </c>
      <c r="AP44" s="22">
        <f>AP8*Hypothèses!$B$12</f>
        <v>0</v>
      </c>
      <c r="AQ44" s="22">
        <f>AQ8*Hypothèses!$B$12</f>
        <v>0</v>
      </c>
    </row>
    <row r="45" spans="1:43" x14ac:dyDescent="0.3">
      <c r="A45" s="8" t="s">
        <v>360</v>
      </c>
      <c r="B45" s="23">
        <f>G45</f>
        <v>0</v>
      </c>
      <c r="C45" s="23">
        <f>SUM(H45:S45)</f>
        <v>3834583.3333333316</v>
      </c>
      <c r="D45" s="23">
        <f>SUM(T45:AE45)</f>
        <v>90416.666666666672</v>
      </c>
      <c r="E45" s="23">
        <f>SUM(AF45:AQ45)</f>
        <v>0</v>
      </c>
      <c r="F45" s="23">
        <f>SUM(B45:E45)</f>
        <v>3924999.9999999981</v>
      </c>
      <c r="G45" s="23">
        <f t="shared" ref="G45:AQ45" si="14">SUM(G42:G44)</f>
        <v>0</v>
      </c>
      <c r="H45" s="23">
        <f t="shared" si="14"/>
        <v>2840000</v>
      </c>
      <c r="I45" s="23">
        <f t="shared" si="14"/>
        <v>90416.666666666672</v>
      </c>
      <c r="J45" s="23">
        <f t="shared" si="14"/>
        <v>90416.666666666672</v>
      </c>
      <c r="K45" s="23">
        <f t="shared" si="14"/>
        <v>90416.666666666672</v>
      </c>
      <c r="L45" s="23">
        <f t="shared" si="14"/>
        <v>90416.666666666672</v>
      </c>
      <c r="M45" s="23">
        <f t="shared" si="14"/>
        <v>90416.666666666672</v>
      </c>
      <c r="N45" s="23">
        <f t="shared" si="14"/>
        <v>90416.666666666672</v>
      </c>
      <c r="O45" s="23">
        <f t="shared" si="14"/>
        <v>90416.666666666672</v>
      </c>
      <c r="P45" s="23">
        <f t="shared" si="14"/>
        <v>90416.666666666672</v>
      </c>
      <c r="Q45" s="23">
        <f t="shared" si="14"/>
        <v>90416.666666666672</v>
      </c>
      <c r="R45" s="23">
        <f t="shared" si="14"/>
        <v>90416.666666666672</v>
      </c>
      <c r="S45" s="23">
        <f t="shared" si="14"/>
        <v>90416.666666666672</v>
      </c>
      <c r="T45" s="23">
        <f t="shared" si="14"/>
        <v>90416.666666666672</v>
      </c>
      <c r="U45" s="23">
        <f t="shared" si="14"/>
        <v>0</v>
      </c>
      <c r="V45" s="23">
        <f t="shared" si="14"/>
        <v>0</v>
      </c>
      <c r="W45" s="23">
        <f t="shared" si="14"/>
        <v>0</v>
      </c>
      <c r="X45" s="23">
        <f t="shared" si="14"/>
        <v>0</v>
      </c>
      <c r="Y45" s="23">
        <f t="shared" si="14"/>
        <v>0</v>
      </c>
      <c r="Z45" s="23">
        <f t="shared" si="14"/>
        <v>0</v>
      </c>
      <c r="AA45" s="23">
        <f t="shared" si="14"/>
        <v>0</v>
      </c>
      <c r="AB45" s="23">
        <f t="shared" si="14"/>
        <v>0</v>
      </c>
      <c r="AC45" s="23">
        <f t="shared" si="14"/>
        <v>0</v>
      </c>
      <c r="AD45" s="23">
        <f t="shared" si="14"/>
        <v>0</v>
      </c>
      <c r="AE45" s="23">
        <f t="shared" si="14"/>
        <v>0</v>
      </c>
      <c r="AF45" s="23">
        <f t="shared" si="14"/>
        <v>0</v>
      </c>
      <c r="AG45" s="23">
        <f t="shared" si="14"/>
        <v>0</v>
      </c>
      <c r="AH45" s="23">
        <f t="shared" si="14"/>
        <v>0</v>
      </c>
      <c r="AI45" s="23">
        <f t="shared" si="14"/>
        <v>0</v>
      </c>
      <c r="AJ45" s="23">
        <f t="shared" si="14"/>
        <v>0</v>
      </c>
      <c r="AK45" s="23">
        <f t="shared" si="14"/>
        <v>0</v>
      </c>
      <c r="AL45" s="23">
        <f t="shared" si="14"/>
        <v>0</v>
      </c>
      <c r="AM45" s="23">
        <f t="shared" si="14"/>
        <v>0</v>
      </c>
      <c r="AN45" s="23">
        <f t="shared" si="14"/>
        <v>0</v>
      </c>
      <c r="AO45" s="23">
        <f t="shared" si="14"/>
        <v>0</v>
      </c>
      <c r="AP45" s="23">
        <f t="shared" si="14"/>
        <v>0</v>
      </c>
      <c r="AQ45" s="23">
        <f t="shared" si="14"/>
        <v>0</v>
      </c>
    </row>
    <row r="47" spans="1:43" x14ac:dyDescent="0.3">
      <c r="A47" s="4" t="s">
        <v>445</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row>
    <row r="48" spans="1:43" x14ac:dyDescent="0.3">
      <c r="A48" s="6" t="s">
        <v>446</v>
      </c>
      <c r="B48" s="22">
        <f>G48</f>
        <v>0</v>
      </c>
      <c r="C48" s="22">
        <f>SUM(H48:S48)</f>
        <v>75000</v>
      </c>
      <c r="D48" s="22">
        <f>SUM(T48:AE48)</f>
        <v>75000</v>
      </c>
      <c r="E48" s="22">
        <f>SUM(AF48:AQ48)</f>
        <v>0</v>
      </c>
      <c r="F48" s="22">
        <f>SUM(B48:E48)</f>
        <v>150000</v>
      </c>
      <c r="G48" s="22">
        <f>(SUMPRODUCT(($G$4:$AQ$4=G$4)*$G$7:$AQ$7)+SUMPRODUCT(($G$4:$AQ$4=G$4-12)*$G$7:$AQ$7))*Hypothèses!$B$15</f>
        <v>0</v>
      </c>
      <c r="H48" s="22">
        <f>(SUMPRODUCT(($G$4:$AQ$4=H$4)*$G$7:$AQ$7)+SUMPRODUCT(($G$4:$AQ$4=H$4-12)*$G$7:$AQ$7))*Hypothèses!$B$15</f>
        <v>75000</v>
      </c>
      <c r="I48" s="22">
        <f>(SUMPRODUCT(($G$4:$AQ$4=I$4)*$G$7:$AQ$7)+SUMPRODUCT(($G$4:$AQ$4=I$4-12)*$G$7:$AQ$7))*Hypothèses!$B$15</f>
        <v>0</v>
      </c>
      <c r="J48" s="22">
        <f>(SUMPRODUCT(($G$4:$AQ$4=J$4)*$G$7:$AQ$7)+SUMPRODUCT(($G$4:$AQ$4=J$4-12)*$G$7:$AQ$7))*Hypothèses!$B$15</f>
        <v>0</v>
      </c>
      <c r="K48" s="22">
        <f>(SUMPRODUCT(($G$4:$AQ$4=K$4)*$G$7:$AQ$7)+SUMPRODUCT(($G$4:$AQ$4=K$4-12)*$G$7:$AQ$7))*Hypothèses!$B$15</f>
        <v>0</v>
      </c>
      <c r="L48" s="22">
        <f>(SUMPRODUCT(($G$4:$AQ$4=L$4)*$G$7:$AQ$7)+SUMPRODUCT(($G$4:$AQ$4=L$4-12)*$G$7:$AQ$7))*Hypothèses!$B$15</f>
        <v>0</v>
      </c>
      <c r="M48" s="22">
        <f>(SUMPRODUCT(($G$4:$AQ$4=M$4)*$G$7:$AQ$7)+SUMPRODUCT(($G$4:$AQ$4=M$4-12)*$G$7:$AQ$7))*Hypothèses!$B$15</f>
        <v>0</v>
      </c>
      <c r="N48" s="22">
        <f>(SUMPRODUCT(($G$4:$AQ$4=N$4)*$G$7:$AQ$7)+SUMPRODUCT(($G$4:$AQ$4=N$4-12)*$G$7:$AQ$7))*Hypothèses!$B$15</f>
        <v>0</v>
      </c>
      <c r="O48" s="22">
        <f>(SUMPRODUCT(($G$4:$AQ$4=O$4)*$G$7:$AQ$7)+SUMPRODUCT(($G$4:$AQ$4=O$4-12)*$G$7:$AQ$7))*Hypothèses!$B$15</f>
        <v>0</v>
      </c>
      <c r="P48" s="22">
        <f>(SUMPRODUCT(($G$4:$AQ$4=P$4)*$G$7:$AQ$7)+SUMPRODUCT(($G$4:$AQ$4=P$4-12)*$G$7:$AQ$7))*Hypothèses!$B$15</f>
        <v>0</v>
      </c>
      <c r="Q48" s="22">
        <f>(SUMPRODUCT(($G$4:$AQ$4=Q$4)*$G$7:$AQ$7)+SUMPRODUCT(($G$4:$AQ$4=Q$4-12)*$G$7:$AQ$7))*Hypothèses!$B$15</f>
        <v>0</v>
      </c>
      <c r="R48" s="22">
        <f>(SUMPRODUCT(($G$4:$AQ$4=R$4)*$G$7:$AQ$7)+SUMPRODUCT(($G$4:$AQ$4=R$4-12)*$G$7:$AQ$7))*Hypothèses!$B$15</f>
        <v>0</v>
      </c>
      <c r="S48" s="22">
        <f>(SUMPRODUCT(($G$4:$AQ$4=S$4)*$G$7:$AQ$7)+SUMPRODUCT(($G$4:$AQ$4=S$4-12)*$G$7:$AQ$7))*Hypothèses!$B$15</f>
        <v>0</v>
      </c>
      <c r="T48" s="22">
        <f>(SUMPRODUCT(($G$4:$AQ$4=T$4)*$G$7:$AQ$7)+SUMPRODUCT(($G$4:$AQ$4=T$4-12)*$G$7:$AQ$7))*Hypothèses!$B$15</f>
        <v>75000</v>
      </c>
      <c r="U48" s="22">
        <f>(SUMPRODUCT(($G$4:$AQ$4=U$4)*$G$7:$AQ$7)+SUMPRODUCT(($G$4:$AQ$4=U$4-12)*$G$7:$AQ$7))*Hypothèses!$B$15</f>
        <v>0</v>
      </c>
      <c r="V48" s="22">
        <f>(SUMPRODUCT(($G$4:$AQ$4=V$4)*$G$7:$AQ$7)+SUMPRODUCT(($G$4:$AQ$4=V$4-12)*$G$7:$AQ$7))*Hypothèses!$B$15</f>
        <v>0</v>
      </c>
      <c r="W48" s="22">
        <f>(SUMPRODUCT(($G$4:$AQ$4=W$4)*$G$7:$AQ$7)+SUMPRODUCT(($G$4:$AQ$4=W$4-12)*$G$7:$AQ$7))*Hypothèses!$B$15</f>
        <v>0</v>
      </c>
      <c r="X48" s="22">
        <f>(SUMPRODUCT(($G$4:$AQ$4=X$4)*$G$7:$AQ$7)+SUMPRODUCT(($G$4:$AQ$4=X$4-12)*$G$7:$AQ$7))*Hypothèses!$B$15</f>
        <v>0</v>
      </c>
      <c r="Y48" s="22">
        <f>(SUMPRODUCT(($G$4:$AQ$4=Y$4)*$G$7:$AQ$7)+SUMPRODUCT(($G$4:$AQ$4=Y$4-12)*$G$7:$AQ$7))*Hypothèses!$B$15</f>
        <v>0</v>
      </c>
      <c r="Z48" s="22">
        <f>(SUMPRODUCT(($G$4:$AQ$4=Z$4)*$G$7:$AQ$7)+SUMPRODUCT(($G$4:$AQ$4=Z$4-12)*$G$7:$AQ$7))*Hypothèses!$B$15</f>
        <v>0</v>
      </c>
      <c r="AA48" s="22">
        <f>(SUMPRODUCT(($G$4:$AQ$4=AA$4)*$G$7:$AQ$7)+SUMPRODUCT(($G$4:$AQ$4=AA$4-12)*$G$7:$AQ$7))*Hypothèses!$B$15</f>
        <v>0</v>
      </c>
      <c r="AB48" s="22">
        <f>(SUMPRODUCT(($G$4:$AQ$4=AB$4)*$G$7:$AQ$7)+SUMPRODUCT(($G$4:$AQ$4=AB$4-12)*$G$7:$AQ$7))*Hypothèses!$B$15</f>
        <v>0</v>
      </c>
      <c r="AC48" s="22">
        <f>(SUMPRODUCT(($G$4:$AQ$4=AC$4)*$G$7:$AQ$7)+SUMPRODUCT(($G$4:$AQ$4=AC$4-12)*$G$7:$AQ$7))*Hypothèses!$B$15</f>
        <v>0</v>
      </c>
      <c r="AD48" s="22">
        <f>(SUMPRODUCT(($G$4:$AQ$4=AD$4)*$G$7:$AQ$7)+SUMPRODUCT(($G$4:$AQ$4=AD$4-12)*$G$7:$AQ$7))*Hypothèses!$B$15</f>
        <v>0</v>
      </c>
      <c r="AE48" s="22">
        <f>(SUMPRODUCT(($G$4:$AQ$4=AE$4)*$G$7:$AQ$7)+SUMPRODUCT(($G$4:$AQ$4=AE$4-12)*$G$7:$AQ$7))*Hypothèses!$B$15</f>
        <v>0</v>
      </c>
      <c r="AF48" s="22">
        <f>(SUMPRODUCT(($G$4:$AQ$4=AF$4)*$G$7:$AQ$7)+SUMPRODUCT(($G$4:$AQ$4=AF$4-12)*$G$7:$AQ$7))*Hypothèses!$B$15</f>
        <v>0</v>
      </c>
      <c r="AG48" s="22">
        <f>(SUMPRODUCT(($G$4:$AQ$4=AG$4)*$G$7:$AQ$7)+SUMPRODUCT(($G$4:$AQ$4=AG$4-12)*$G$7:$AQ$7))*Hypothèses!$B$15</f>
        <v>0</v>
      </c>
      <c r="AH48" s="22">
        <f>(SUMPRODUCT(($G$4:$AQ$4=AH$4)*$G$7:$AQ$7)+SUMPRODUCT(($G$4:$AQ$4=AH$4-12)*$G$7:$AQ$7))*Hypothèses!$B$15</f>
        <v>0</v>
      </c>
      <c r="AI48" s="22">
        <f>(SUMPRODUCT(($G$4:$AQ$4=AI$4)*$G$7:$AQ$7)+SUMPRODUCT(($G$4:$AQ$4=AI$4-12)*$G$7:$AQ$7))*Hypothèses!$B$15</f>
        <v>0</v>
      </c>
      <c r="AJ48" s="22">
        <f>(SUMPRODUCT(($G$4:$AQ$4=AJ$4)*$G$7:$AQ$7)+SUMPRODUCT(($G$4:$AQ$4=AJ$4-12)*$G$7:$AQ$7))*Hypothèses!$B$15</f>
        <v>0</v>
      </c>
      <c r="AK48" s="22">
        <f>(SUMPRODUCT(($G$4:$AQ$4=AK$4)*$G$7:$AQ$7)+SUMPRODUCT(($G$4:$AQ$4=AK$4-12)*$G$7:$AQ$7))*Hypothèses!$B$15</f>
        <v>0</v>
      </c>
      <c r="AL48" s="22">
        <f>(SUMPRODUCT(($G$4:$AQ$4=AL$4)*$G$7:$AQ$7)+SUMPRODUCT(($G$4:$AQ$4=AL$4-12)*$G$7:$AQ$7))*Hypothèses!$B$15</f>
        <v>0</v>
      </c>
      <c r="AM48" s="22">
        <f>(SUMPRODUCT(($G$4:$AQ$4=AM$4)*$G$7:$AQ$7)+SUMPRODUCT(($G$4:$AQ$4=AM$4-12)*$G$7:$AQ$7))*Hypothèses!$B$15</f>
        <v>0</v>
      </c>
      <c r="AN48" s="22">
        <f>(SUMPRODUCT(($G$4:$AQ$4=AN$4)*$G$7:$AQ$7)+SUMPRODUCT(($G$4:$AQ$4=AN$4-12)*$G$7:$AQ$7))*Hypothèses!$B$15</f>
        <v>0</v>
      </c>
      <c r="AO48" s="22">
        <f>(SUMPRODUCT(($G$4:$AQ$4=AO$4)*$G$7:$AQ$7)+SUMPRODUCT(($G$4:$AQ$4=AO$4-12)*$G$7:$AQ$7))*Hypothèses!$B$15</f>
        <v>0</v>
      </c>
      <c r="AP48" s="22">
        <f>(SUMPRODUCT(($G$4:$AQ$4=AP$4)*$G$7:$AQ$7)+SUMPRODUCT(($G$4:$AQ$4=AP$4-12)*$G$7:$AQ$7))*Hypothèses!$B$15</f>
        <v>0</v>
      </c>
      <c r="AQ48" s="22">
        <f>(SUMPRODUCT(($G$4:$AQ$4=AQ$4)*$G$7:$AQ$7)+SUMPRODUCT(($G$4:$AQ$4=AQ$4-12)*$G$7:$AQ$7))*Hypothèses!$B$15</f>
        <v>0</v>
      </c>
    </row>
    <row r="49" spans="1:43" x14ac:dyDescent="0.3">
      <c r="A49" s="6" t="s">
        <v>447</v>
      </c>
      <c r="B49" s="22">
        <f>G49</f>
        <v>0</v>
      </c>
      <c r="C49" s="22">
        <f>SUM(H49:S49)</f>
        <v>250000</v>
      </c>
      <c r="D49" s="22">
        <f>SUM(T49:AE49)</f>
        <v>0</v>
      </c>
      <c r="E49" s="22">
        <f>SUM(AF49:AQ49)</f>
        <v>0</v>
      </c>
      <c r="F49" s="22">
        <f>SUM(B49:E49)</f>
        <v>250000</v>
      </c>
      <c r="G49" s="22">
        <f>G8*Hypothèses!$B$16</f>
        <v>0</v>
      </c>
      <c r="H49" s="22">
        <f>H8*Hypothèses!$B$16</f>
        <v>250000</v>
      </c>
      <c r="I49" s="22">
        <f>I8*Hypothèses!$B$16</f>
        <v>0</v>
      </c>
      <c r="J49" s="22">
        <f>J8*Hypothèses!$B$16</f>
        <v>0</v>
      </c>
      <c r="K49" s="22">
        <f>K8*Hypothèses!$B$16</f>
        <v>0</v>
      </c>
      <c r="L49" s="22">
        <f>L8*Hypothèses!$B$16</f>
        <v>0</v>
      </c>
      <c r="M49" s="22">
        <f>M8*Hypothèses!$B$16</f>
        <v>0</v>
      </c>
      <c r="N49" s="22">
        <f>N8*Hypothèses!$B$16</f>
        <v>0</v>
      </c>
      <c r="O49" s="22">
        <f>O8*Hypothèses!$B$16</f>
        <v>0</v>
      </c>
      <c r="P49" s="22">
        <f>P8*Hypothèses!$B$16</f>
        <v>0</v>
      </c>
      <c r="Q49" s="22">
        <f>Q8*Hypothèses!$B$16</f>
        <v>0</v>
      </c>
      <c r="R49" s="22">
        <f>R8*Hypothèses!$B$16</f>
        <v>0</v>
      </c>
      <c r="S49" s="22">
        <f>S8*Hypothèses!$B$16</f>
        <v>0</v>
      </c>
      <c r="T49" s="22">
        <f>T8*Hypothèses!$B$16</f>
        <v>0</v>
      </c>
      <c r="U49" s="22">
        <f>U8*Hypothèses!$B$16</f>
        <v>0</v>
      </c>
      <c r="V49" s="22">
        <f>V8*Hypothèses!$B$16</f>
        <v>0</v>
      </c>
      <c r="W49" s="22">
        <f>W8*Hypothèses!$B$16</f>
        <v>0</v>
      </c>
      <c r="X49" s="22">
        <f>X8*Hypothèses!$B$16</f>
        <v>0</v>
      </c>
      <c r="Y49" s="22">
        <f>Y8*Hypothèses!$B$16</f>
        <v>0</v>
      </c>
      <c r="Z49" s="22">
        <f>Z8*Hypothèses!$B$16</f>
        <v>0</v>
      </c>
      <c r="AA49" s="22">
        <f>AA8*Hypothèses!$B$16</f>
        <v>0</v>
      </c>
      <c r="AB49" s="22">
        <f>AB8*Hypothèses!$B$16</f>
        <v>0</v>
      </c>
      <c r="AC49" s="22">
        <f>AC8*Hypothèses!$B$16</f>
        <v>0</v>
      </c>
      <c r="AD49" s="22">
        <f>AD8*Hypothèses!$B$16</f>
        <v>0</v>
      </c>
      <c r="AE49" s="22">
        <f>AE8*Hypothèses!$B$16</f>
        <v>0</v>
      </c>
      <c r="AF49" s="22">
        <f>AF8*Hypothèses!$B$16</f>
        <v>0</v>
      </c>
      <c r="AG49" s="22">
        <f>AG8*Hypothèses!$B$16</f>
        <v>0</v>
      </c>
      <c r="AH49" s="22">
        <f>AH8*Hypothèses!$B$16</f>
        <v>0</v>
      </c>
      <c r="AI49" s="22">
        <f>AI8*Hypothèses!$B$16</f>
        <v>0</v>
      </c>
      <c r="AJ49" s="22">
        <f>AJ8*Hypothèses!$B$16</f>
        <v>0</v>
      </c>
      <c r="AK49" s="22">
        <f>AK8*Hypothèses!$B$16</f>
        <v>0</v>
      </c>
      <c r="AL49" s="22">
        <f>AL8*Hypothèses!$B$16</f>
        <v>0</v>
      </c>
      <c r="AM49" s="22">
        <f>AM8*Hypothèses!$B$16</f>
        <v>0</v>
      </c>
      <c r="AN49" s="22">
        <f>AN8*Hypothèses!$B$16</f>
        <v>0</v>
      </c>
      <c r="AO49" s="22">
        <f>AO8*Hypothèses!$B$16</f>
        <v>0</v>
      </c>
      <c r="AP49" s="22">
        <f>AP8*Hypothèses!$B$16</f>
        <v>0</v>
      </c>
      <c r="AQ49" s="22">
        <f>AQ8*Hypothèses!$B$16</f>
        <v>0</v>
      </c>
    </row>
    <row r="50" spans="1:43" x14ac:dyDescent="0.3">
      <c r="A50" s="6" t="s">
        <v>448</v>
      </c>
      <c r="B50" s="22">
        <f>G50</f>
        <v>0</v>
      </c>
      <c r="C50" s="22">
        <f>SUM(H50:S50)</f>
        <v>139000</v>
      </c>
      <c r="D50" s="22">
        <f>SUM(T50:AE50)</f>
        <v>89000</v>
      </c>
      <c r="E50" s="22">
        <f>SUM(AF50:AQ50)</f>
        <v>0</v>
      </c>
      <c r="F50" s="22">
        <f>SUM(B50:E50)</f>
        <v>228000</v>
      </c>
      <c r="G50" s="22">
        <f>G7*Hypothèses!$B$17+(SUMPRODUCT(($G$4:$AQ$4=G$4-12)*$G$7:$AQ$7))*Hypothèses!$B$18</f>
        <v>0</v>
      </c>
      <c r="H50" s="22">
        <f>H7*Hypothèses!$B$17+(SUMPRODUCT(($G$4:$AQ$4=H$4-12)*$G$7:$AQ$7))*Hypothèses!$B$18</f>
        <v>139000</v>
      </c>
      <c r="I50" s="22">
        <f>I7*Hypothèses!$B$17+(SUMPRODUCT(($G$4:$AQ$4=I$4-12)*$G$7:$AQ$7))*Hypothèses!$B$18</f>
        <v>0</v>
      </c>
      <c r="J50" s="22">
        <f>J7*Hypothèses!$B$17+(SUMPRODUCT(($G$4:$AQ$4=J$4-12)*$G$7:$AQ$7))*Hypothèses!$B$18</f>
        <v>0</v>
      </c>
      <c r="K50" s="22">
        <f>K7*Hypothèses!$B$17+(SUMPRODUCT(($G$4:$AQ$4=K$4-12)*$G$7:$AQ$7))*Hypothèses!$B$18</f>
        <v>0</v>
      </c>
      <c r="L50" s="22">
        <f>L7*Hypothèses!$B$17+(SUMPRODUCT(($G$4:$AQ$4=L$4-12)*$G$7:$AQ$7))*Hypothèses!$B$18</f>
        <v>0</v>
      </c>
      <c r="M50" s="22">
        <f>M7*Hypothèses!$B$17+(SUMPRODUCT(($G$4:$AQ$4=M$4-12)*$G$7:$AQ$7))*Hypothèses!$B$18</f>
        <v>0</v>
      </c>
      <c r="N50" s="22">
        <f>N7*Hypothèses!$B$17+(SUMPRODUCT(($G$4:$AQ$4=N$4-12)*$G$7:$AQ$7))*Hypothèses!$B$18</f>
        <v>0</v>
      </c>
      <c r="O50" s="22">
        <f>O7*Hypothèses!$B$17+(SUMPRODUCT(($G$4:$AQ$4=O$4-12)*$G$7:$AQ$7))*Hypothèses!$B$18</f>
        <v>0</v>
      </c>
      <c r="P50" s="22">
        <f>P7*Hypothèses!$B$17+(SUMPRODUCT(($G$4:$AQ$4=P$4-12)*$G$7:$AQ$7))*Hypothèses!$B$18</f>
        <v>0</v>
      </c>
      <c r="Q50" s="22">
        <f>Q7*Hypothèses!$B$17+(SUMPRODUCT(($G$4:$AQ$4=Q$4-12)*$G$7:$AQ$7))*Hypothèses!$B$18</f>
        <v>0</v>
      </c>
      <c r="R50" s="22">
        <f>R7*Hypothèses!$B$17+(SUMPRODUCT(($G$4:$AQ$4=R$4-12)*$G$7:$AQ$7))*Hypothèses!$B$18</f>
        <v>0</v>
      </c>
      <c r="S50" s="22">
        <f>S7*Hypothèses!$B$17+(SUMPRODUCT(($G$4:$AQ$4=S$4-12)*$G$7:$AQ$7))*Hypothèses!$B$18</f>
        <v>0</v>
      </c>
      <c r="T50" s="22">
        <f>T7*Hypothèses!$B$17+(SUMPRODUCT(($G$4:$AQ$4=T$4-12)*$G$7:$AQ$7))*Hypothèses!$B$18</f>
        <v>89000</v>
      </c>
      <c r="U50" s="22">
        <f>U7*Hypothèses!$B$17+(SUMPRODUCT(($G$4:$AQ$4=U$4-12)*$G$7:$AQ$7))*Hypothèses!$B$18</f>
        <v>0</v>
      </c>
      <c r="V50" s="22">
        <f>V7*Hypothèses!$B$17+(SUMPRODUCT(($G$4:$AQ$4=V$4-12)*$G$7:$AQ$7))*Hypothèses!$B$18</f>
        <v>0</v>
      </c>
      <c r="W50" s="22">
        <f>W7*Hypothèses!$B$17+(SUMPRODUCT(($G$4:$AQ$4=W$4-12)*$G$7:$AQ$7))*Hypothèses!$B$18</f>
        <v>0</v>
      </c>
      <c r="X50" s="22">
        <f>X7*Hypothèses!$B$17+(SUMPRODUCT(($G$4:$AQ$4=X$4-12)*$G$7:$AQ$7))*Hypothèses!$B$18</f>
        <v>0</v>
      </c>
      <c r="Y50" s="22">
        <f>Y7*Hypothèses!$B$17+(SUMPRODUCT(($G$4:$AQ$4=Y$4-12)*$G$7:$AQ$7))*Hypothèses!$B$18</f>
        <v>0</v>
      </c>
      <c r="Z50" s="22">
        <f>Z7*Hypothèses!$B$17+(SUMPRODUCT(($G$4:$AQ$4=Z$4-12)*$G$7:$AQ$7))*Hypothèses!$B$18</f>
        <v>0</v>
      </c>
      <c r="AA50" s="22">
        <f>AA7*Hypothèses!$B$17+(SUMPRODUCT(($G$4:$AQ$4=AA$4-12)*$G$7:$AQ$7))*Hypothèses!$B$18</f>
        <v>0</v>
      </c>
      <c r="AB50" s="22">
        <f>AB7*Hypothèses!$B$17+(SUMPRODUCT(($G$4:$AQ$4=AB$4-12)*$G$7:$AQ$7))*Hypothèses!$B$18</f>
        <v>0</v>
      </c>
      <c r="AC50" s="22">
        <f>AC7*Hypothèses!$B$17+(SUMPRODUCT(($G$4:$AQ$4=AC$4-12)*$G$7:$AQ$7))*Hypothèses!$B$18</f>
        <v>0</v>
      </c>
      <c r="AD50" s="22">
        <f>AD7*Hypothèses!$B$17+(SUMPRODUCT(($G$4:$AQ$4=AD$4-12)*$G$7:$AQ$7))*Hypothèses!$B$18</f>
        <v>0</v>
      </c>
      <c r="AE50" s="22">
        <f>AE7*Hypothèses!$B$17+(SUMPRODUCT(($G$4:$AQ$4=AE$4-12)*$G$7:$AQ$7))*Hypothèses!$B$18</f>
        <v>0</v>
      </c>
      <c r="AF50" s="22">
        <f>AF7*Hypothèses!$B$17+(SUMPRODUCT(($G$4:$AQ$4=AF$4-12)*$G$7:$AQ$7))*Hypothèses!$B$18</f>
        <v>0</v>
      </c>
      <c r="AG50" s="22">
        <f>AG7*Hypothèses!$B$17+(SUMPRODUCT(($G$4:$AQ$4=AG$4-12)*$G$7:$AQ$7))*Hypothèses!$B$18</f>
        <v>0</v>
      </c>
      <c r="AH50" s="22">
        <f>AH7*Hypothèses!$B$17+(SUMPRODUCT(($G$4:$AQ$4=AH$4-12)*$G$7:$AQ$7))*Hypothèses!$B$18</f>
        <v>0</v>
      </c>
      <c r="AI50" s="22">
        <f>AI7*Hypothèses!$B$17+(SUMPRODUCT(($G$4:$AQ$4=AI$4-12)*$G$7:$AQ$7))*Hypothèses!$B$18</f>
        <v>0</v>
      </c>
      <c r="AJ50" s="22">
        <f>AJ7*Hypothèses!$B$17+(SUMPRODUCT(($G$4:$AQ$4=AJ$4-12)*$G$7:$AQ$7))*Hypothèses!$B$18</f>
        <v>0</v>
      </c>
      <c r="AK50" s="22">
        <f>AK7*Hypothèses!$B$17+(SUMPRODUCT(($G$4:$AQ$4=AK$4-12)*$G$7:$AQ$7))*Hypothèses!$B$18</f>
        <v>0</v>
      </c>
      <c r="AL50" s="22">
        <f>AL7*Hypothèses!$B$17+(SUMPRODUCT(($G$4:$AQ$4=AL$4-12)*$G$7:$AQ$7))*Hypothèses!$B$18</f>
        <v>0</v>
      </c>
      <c r="AM50" s="22">
        <f>AM7*Hypothèses!$B$17+(SUMPRODUCT(($G$4:$AQ$4=AM$4-12)*$G$7:$AQ$7))*Hypothèses!$B$18</f>
        <v>0</v>
      </c>
      <c r="AN50" s="22">
        <f>AN7*Hypothèses!$B$17+(SUMPRODUCT(($G$4:$AQ$4=AN$4-12)*$G$7:$AQ$7))*Hypothèses!$B$18</f>
        <v>0</v>
      </c>
      <c r="AO50" s="22">
        <f>AO7*Hypothèses!$B$17+(SUMPRODUCT(($G$4:$AQ$4=AO$4-12)*$G$7:$AQ$7))*Hypothèses!$B$18</f>
        <v>0</v>
      </c>
      <c r="AP50" s="22">
        <f>AP7*Hypothèses!$B$17+(SUMPRODUCT(($G$4:$AQ$4=AP$4-12)*$G$7:$AQ$7))*Hypothèses!$B$18</f>
        <v>0</v>
      </c>
      <c r="AQ50" s="22">
        <f>AQ7*Hypothèses!$B$17+(SUMPRODUCT(($G$4:$AQ$4=AQ$4-12)*$G$7:$AQ$7))*Hypothèses!$B$18</f>
        <v>0</v>
      </c>
    </row>
    <row r="51" spans="1:43" x14ac:dyDescent="0.3">
      <c r="A51" s="6" t="s">
        <v>449</v>
      </c>
      <c r="B51" s="22">
        <f>G51</f>
        <v>0</v>
      </c>
      <c r="C51" s="22">
        <f>SUM(H51:S51)</f>
        <v>695000</v>
      </c>
      <c r="D51" s="22">
        <f>SUM(T51:AE51)</f>
        <v>0</v>
      </c>
      <c r="E51" s="22">
        <f>SUM(AF51:AQ51)</f>
        <v>0</v>
      </c>
      <c r="F51" s="22">
        <f>SUM(B51:E51)</f>
        <v>695000</v>
      </c>
      <c r="G51" s="22">
        <f>G8*Hypothèses!$B$19</f>
        <v>0</v>
      </c>
      <c r="H51" s="22">
        <f>H8*Hypothèses!$B$19</f>
        <v>695000</v>
      </c>
      <c r="I51" s="22">
        <f>I8*Hypothèses!$B$19</f>
        <v>0</v>
      </c>
      <c r="J51" s="22">
        <f>J8*Hypothèses!$B$19</f>
        <v>0</v>
      </c>
      <c r="K51" s="22">
        <f>K8*Hypothèses!$B$19</f>
        <v>0</v>
      </c>
      <c r="L51" s="22">
        <f>L8*Hypothèses!$B$19</f>
        <v>0</v>
      </c>
      <c r="M51" s="22">
        <f>M8*Hypothèses!$B$19</f>
        <v>0</v>
      </c>
      <c r="N51" s="22">
        <f>N8*Hypothèses!$B$19</f>
        <v>0</v>
      </c>
      <c r="O51" s="22">
        <f>O8*Hypothèses!$B$19</f>
        <v>0</v>
      </c>
      <c r="P51" s="22">
        <f>P8*Hypothèses!$B$19</f>
        <v>0</v>
      </c>
      <c r="Q51" s="22">
        <f>Q8*Hypothèses!$B$19</f>
        <v>0</v>
      </c>
      <c r="R51" s="22">
        <f>R8*Hypothèses!$B$19</f>
        <v>0</v>
      </c>
      <c r="S51" s="22">
        <f>S8*Hypothèses!$B$19</f>
        <v>0</v>
      </c>
      <c r="T51" s="22">
        <f>T8*Hypothèses!$B$19</f>
        <v>0</v>
      </c>
      <c r="U51" s="22">
        <f>U8*Hypothèses!$B$19</f>
        <v>0</v>
      </c>
      <c r="V51" s="22">
        <f>V8*Hypothèses!$B$19</f>
        <v>0</v>
      </c>
      <c r="W51" s="22">
        <f>W8*Hypothèses!$B$19</f>
        <v>0</v>
      </c>
      <c r="X51" s="22">
        <f>X8*Hypothèses!$B$19</f>
        <v>0</v>
      </c>
      <c r="Y51" s="22">
        <f>Y8*Hypothèses!$B$19</f>
        <v>0</v>
      </c>
      <c r="Z51" s="22">
        <f>Z8*Hypothèses!$B$19</f>
        <v>0</v>
      </c>
      <c r="AA51" s="22">
        <f>AA8*Hypothèses!$B$19</f>
        <v>0</v>
      </c>
      <c r="AB51" s="22">
        <f>AB8*Hypothèses!$B$19</f>
        <v>0</v>
      </c>
      <c r="AC51" s="22">
        <f>AC8*Hypothèses!$B$19</f>
        <v>0</v>
      </c>
      <c r="AD51" s="22">
        <f>AD8*Hypothèses!$B$19</f>
        <v>0</v>
      </c>
      <c r="AE51" s="22">
        <f>AE8*Hypothèses!$B$19</f>
        <v>0</v>
      </c>
      <c r="AF51" s="22">
        <f>AF8*Hypothèses!$B$19</f>
        <v>0</v>
      </c>
      <c r="AG51" s="22">
        <f>AG8*Hypothèses!$B$19</f>
        <v>0</v>
      </c>
      <c r="AH51" s="22">
        <f>AH8*Hypothèses!$B$19</f>
        <v>0</v>
      </c>
      <c r="AI51" s="22">
        <f>AI8*Hypothèses!$B$19</f>
        <v>0</v>
      </c>
      <c r="AJ51" s="22">
        <f>AJ8*Hypothèses!$B$19</f>
        <v>0</v>
      </c>
      <c r="AK51" s="22">
        <f>AK8*Hypothèses!$B$19</f>
        <v>0</v>
      </c>
      <c r="AL51" s="22">
        <f>AL8*Hypothèses!$B$19</f>
        <v>0</v>
      </c>
      <c r="AM51" s="22">
        <f>AM8*Hypothèses!$B$19</f>
        <v>0</v>
      </c>
      <c r="AN51" s="22">
        <f>AN8*Hypothèses!$B$19</f>
        <v>0</v>
      </c>
      <c r="AO51" s="22">
        <f>AO8*Hypothèses!$B$19</f>
        <v>0</v>
      </c>
      <c r="AP51" s="22">
        <f>AP8*Hypothèses!$B$19</f>
        <v>0</v>
      </c>
      <c r="AQ51" s="22">
        <f>AQ8*Hypothèses!$B$19</f>
        <v>0</v>
      </c>
    </row>
    <row r="52" spans="1:43" x14ac:dyDescent="0.3">
      <c r="A52" s="8" t="s">
        <v>362</v>
      </c>
      <c r="B52" s="23">
        <f>G52</f>
        <v>0</v>
      </c>
      <c r="C52" s="23">
        <f>SUM(H52:S52)</f>
        <v>1159000</v>
      </c>
      <c r="D52" s="23">
        <f>SUM(T52:AE52)</f>
        <v>164000</v>
      </c>
      <c r="E52" s="23">
        <f>SUM(AF52:AQ52)</f>
        <v>0</v>
      </c>
      <c r="F52" s="23">
        <f>SUM(B52:E52)</f>
        <v>1323000</v>
      </c>
      <c r="G52" s="23">
        <f t="shared" ref="G52:AQ52" si="15">SUM(G48:G51)</f>
        <v>0</v>
      </c>
      <c r="H52" s="23">
        <f t="shared" si="15"/>
        <v>1159000</v>
      </c>
      <c r="I52" s="23">
        <f t="shared" si="15"/>
        <v>0</v>
      </c>
      <c r="J52" s="23">
        <f t="shared" si="15"/>
        <v>0</v>
      </c>
      <c r="K52" s="23">
        <f t="shared" si="15"/>
        <v>0</v>
      </c>
      <c r="L52" s="23">
        <f t="shared" si="15"/>
        <v>0</v>
      </c>
      <c r="M52" s="23">
        <f t="shared" si="15"/>
        <v>0</v>
      </c>
      <c r="N52" s="23">
        <f t="shared" si="15"/>
        <v>0</v>
      </c>
      <c r="O52" s="23">
        <f t="shared" si="15"/>
        <v>0</v>
      </c>
      <c r="P52" s="23">
        <f t="shared" si="15"/>
        <v>0</v>
      </c>
      <c r="Q52" s="23">
        <f t="shared" si="15"/>
        <v>0</v>
      </c>
      <c r="R52" s="23">
        <f t="shared" si="15"/>
        <v>0</v>
      </c>
      <c r="S52" s="23">
        <f t="shared" si="15"/>
        <v>0</v>
      </c>
      <c r="T52" s="23">
        <f t="shared" si="15"/>
        <v>164000</v>
      </c>
      <c r="U52" s="23">
        <f t="shared" si="15"/>
        <v>0</v>
      </c>
      <c r="V52" s="23">
        <f t="shared" si="15"/>
        <v>0</v>
      </c>
      <c r="W52" s="23">
        <f t="shared" si="15"/>
        <v>0</v>
      </c>
      <c r="X52" s="23">
        <f t="shared" si="15"/>
        <v>0</v>
      </c>
      <c r="Y52" s="23">
        <f t="shared" si="15"/>
        <v>0</v>
      </c>
      <c r="Z52" s="23">
        <f t="shared" si="15"/>
        <v>0</v>
      </c>
      <c r="AA52" s="23">
        <f t="shared" si="15"/>
        <v>0</v>
      </c>
      <c r="AB52" s="23">
        <f t="shared" si="15"/>
        <v>0</v>
      </c>
      <c r="AC52" s="23">
        <f t="shared" si="15"/>
        <v>0</v>
      </c>
      <c r="AD52" s="23">
        <f t="shared" si="15"/>
        <v>0</v>
      </c>
      <c r="AE52" s="23">
        <f t="shared" si="15"/>
        <v>0</v>
      </c>
      <c r="AF52" s="23">
        <f t="shared" si="15"/>
        <v>0</v>
      </c>
      <c r="AG52" s="23">
        <f t="shared" si="15"/>
        <v>0</v>
      </c>
      <c r="AH52" s="23">
        <f t="shared" si="15"/>
        <v>0</v>
      </c>
      <c r="AI52" s="23">
        <f t="shared" si="15"/>
        <v>0</v>
      </c>
      <c r="AJ52" s="23">
        <f t="shared" si="15"/>
        <v>0</v>
      </c>
      <c r="AK52" s="23">
        <f t="shared" si="15"/>
        <v>0</v>
      </c>
      <c r="AL52" s="23">
        <f t="shared" si="15"/>
        <v>0</v>
      </c>
      <c r="AM52" s="23">
        <f t="shared" si="15"/>
        <v>0</v>
      </c>
      <c r="AN52" s="23">
        <f t="shared" si="15"/>
        <v>0</v>
      </c>
      <c r="AO52" s="23">
        <f t="shared" si="15"/>
        <v>0</v>
      </c>
      <c r="AP52" s="23">
        <f t="shared" si="15"/>
        <v>0</v>
      </c>
      <c r="AQ52" s="23">
        <f t="shared" si="15"/>
        <v>0</v>
      </c>
    </row>
    <row r="54" spans="1:43" x14ac:dyDescent="0.3">
      <c r="A54" s="10" t="s">
        <v>450</v>
      </c>
      <c r="B54" s="24">
        <f>G54</f>
        <v>4550000</v>
      </c>
      <c r="C54" s="24">
        <f>SUM(H54:S54)</f>
        <v>13950694.33333333</v>
      </c>
      <c r="D54" s="24">
        <f>SUM(T54:AE54)</f>
        <v>10415666.666666668</v>
      </c>
      <c r="E54" s="24">
        <f>SUM(AF54:AQ54)</f>
        <v>10784250</v>
      </c>
      <c r="F54" s="24">
        <f>SUM(B54:E54)</f>
        <v>39700611</v>
      </c>
      <c r="G54" s="24">
        <f t="shared" ref="G54:AQ54" si="16">G20+G39+G45+G52</f>
        <v>4550000</v>
      </c>
      <c r="H54" s="24">
        <f t="shared" si="16"/>
        <v>5139371.5</v>
      </c>
      <c r="I54" s="24">
        <f t="shared" si="16"/>
        <v>780788.16666666663</v>
      </c>
      <c r="J54" s="24">
        <f t="shared" si="16"/>
        <v>905788.16666666663</v>
      </c>
      <c r="K54" s="24">
        <f t="shared" si="16"/>
        <v>780788.16666666663</v>
      </c>
      <c r="L54" s="24">
        <f t="shared" si="16"/>
        <v>857854.16666666663</v>
      </c>
      <c r="M54" s="24">
        <f t="shared" si="16"/>
        <v>922854.16666666663</v>
      </c>
      <c r="N54" s="24">
        <f t="shared" si="16"/>
        <v>697854.16666666663</v>
      </c>
      <c r="O54" s="24">
        <f t="shared" si="16"/>
        <v>758729.16666666663</v>
      </c>
      <c r="P54" s="24">
        <f t="shared" si="16"/>
        <v>823729.16666666663</v>
      </c>
      <c r="Q54" s="24">
        <f t="shared" si="16"/>
        <v>698729.16666666663</v>
      </c>
      <c r="R54" s="24">
        <f t="shared" si="16"/>
        <v>759604.16666666663</v>
      </c>
      <c r="S54" s="24">
        <f t="shared" si="16"/>
        <v>824604.16666666663</v>
      </c>
      <c r="T54" s="24">
        <f t="shared" si="16"/>
        <v>1585604.1666666667</v>
      </c>
      <c r="U54" s="24">
        <f t="shared" si="16"/>
        <v>734187.5</v>
      </c>
      <c r="V54" s="24">
        <f t="shared" si="16"/>
        <v>859187.5</v>
      </c>
      <c r="W54" s="24">
        <f t="shared" si="16"/>
        <v>988187.5</v>
      </c>
      <c r="X54" s="24">
        <f t="shared" si="16"/>
        <v>734187.5</v>
      </c>
      <c r="Y54" s="24">
        <f t="shared" si="16"/>
        <v>859187.5</v>
      </c>
      <c r="Z54" s="24">
        <f t="shared" si="16"/>
        <v>734187.5</v>
      </c>
      <c r="AA54" s="24">
        <f t="shared" si="16"/>
        <v>734187.5</v>
      </c>
      <c r="AB54" s="24">
        <f t="shared" si="16"/>
        <v>859187.5</v>
      </c>
      <c r="AC54" s="24">
        <f t="shared" si="16"/>
        <v>734187.5</v>
      </c>
      <c r="AD54" s="24">
        <f t="shared" si="16"/>
        <v>734187.5</v>
      </c>
      <c r="AE54" s="24">
        <f t="shared" si="16"/>
        <v>859187.5</v>
      </c>
      <c r="AF54" s="24">
        <f t="shared" si="16"/>
        <v>1666187.5</v>
      </c>
      <c r="AG54" s="24">
        <f t="shared" si="16"/>
        <v>734187.5</v>
      </c>
      <c r="AH54" s="24">
        <f t="shared" si="16"/>
        <v>859187.5</v>
      </c>
      <c r="AI54" s="24">
        <f t="shared" si="16"/>
        <v>988187.5</v>
      </c>
      <c r="AJ54" s="24">
        <f t="shared" si="16"/>
        <v>830187.5</v>
      </c>
      <c r="AK54" s="24">
        <f t="shared" si="16"/>
        <v>859187.5</v>
      </c>
      <c r="AL54" s="24">
        <f t="shared" si="16"/>
        <v>734187.5</v>
      </c>
      <c r="AM54" s="24">
        <f t="shared" si="16"/>
        <v>830187.5</v>
      </c>
      <c r="AN54" s="24">
        <f t="shared" si="16"/>
        <v>859187.5</v>
      </c>
      <c r="AO54" s="24">
        <f t="shared" si="16"/>
        <v>734187.5</v>
      </c>
      <c r="AP54" s="24">
        <f t="shared" si="16"/>
        <v>830187.5</v>
      </c>
      <c r="AQ54" s="24">
        <f t="shared" si="16"/>
        <v>859187.5</v>
      </c>
    </row>
    <row r="55" spans="1:43" x14ac:dyDescent="0.3">
      <c r="A55" s="12" t="s">
        <v>451</v>
      </c>
      <c r="G55" s="25">
        <f>G54</f>
        <v>4550000</v>
      </c>
      <c r="H55" s="25">
        <f t="shared" ref="H55:AQ55" si="17">G55+H54</f>
        <v>9689371.5</v>
      </c>
      <c r="I55" s="25">
        <f t="shared" si="17"/>
        <v>10470159.666666666</v>
      </c>
      <c r="J55" s="25">
        <f t="shared" si="17"/>
        <v>11375947.833333332</v>
      </c>
      <c r="K55" s="25">
        <f t="shared" si="17"/>
        <v>12156735.999999998</v>
      </c>
      <c r="L55" s="25">
        <f t="shared" si="17"/>
        <v>13014590.166666664</v>
      </c>
      <c r="M55" s="25">
        <f t="shared" si="17"/>
        <v>13937444.33333333</v>
      </c>
      <c r="N55" s="25">
        <f t="shared" si="17"/>
        <v>14635298.499999996</v>
      </c>
      <c r="O55" s="25">
        <f t="shared" si="17"/>
        <v>15394027.666666662</v>
      </c>
      <c r="P55" s="25">
        <f t="shared" si="17"/>
        <v>16217756.833333328</v>
      </c>
      <c r="Q55" s="25">
        <f t="shared" si="17"/>
        <v>16916485.999999996</v>
      </c>
      <c r="R55" s="25">
        <f t="shared" si="17"/>
        <v>17676090.166666664</v>
      </c>
      <c r="S55" s="25">
        <f t="shared" si="17"/>
        <v>18500694.333333332</v>
      </c>
      <c r="T55" s="25">
        <f t="shared" si="17"/>
        <v>20086298.5</v>
      </c>
      <c r="U55" s="25">
        <f t="shared" si="17"/>
        <v>20820486</v>
      </c>
      <c r="V55" s="25">
        <f t="shared" si="17"/>
        <v>21679673.5</v>
      </c>
      <c r="W55" s="25">
        <f t="shared" si="17"/>
        <v>22667861</v>
      </c>
      <c r="X55" s="25">
        <f t="shared" si="17"/>
        <v>23402048.5</v>
      </c>
      <c r="Y55" s="25">
        <f t="shared" si="17"/>
        <v>24261236</v>
      </c>
      <c r="Z55" s="25">
        <f t="shared" si="17"/>
        <v>24995423.5</v>
      </c>
      <c r="AA55" s="25">
        <f t="shared" si="17"/>
        <v>25729611</v>
      </c>
      <c r="AB55" s="25">
        <f t="shared" si="17"/>
        <v>26588798.5</v>
      </c>
      <c r="AC55" s="25">
        <f t="shared" si="17"/>
        <v>27322986</v>
      </c>
      <c r="AD55" s="25">
        <f t="shared" si="17"/>
        <v>28057173.5</v>
      </c>
      <c r="AE55" s="25">
        <f t="shared" si="17"/>
        <v>28916361</v>
      </c>
      <c r="AF55" s="25">
        <f t="shared" si="17"/>
        <v>30582548.5</v>
      </c>
      <c r="AG55" s="25">
        <f t="shared" si="17"/>
        <v>31316736</v>
      </c>
      <c r="AH55" s="25">
        <f t="shared" si="17"/>
        <v>32175923.5</v>
      </c>
      <c r="AI55" s="25">
        <f t="shared" si="17"/>
        <v>33164111</v>
      </c>
      <c r="AJ55" s="25">
        <f t="shared" si="17"/>
        <v>33994298.5</v>
      </c>
      <c r="AK55" s="25">
        <f t="shared" si="17"/>
        <v>34853486</v>
      </c>
      <c r="AL55" s="25">
        <f t="shared" si="17"/>
        <v>35587673.5</v>
      </c>
      <c r="AM55" s="25">
        <f t="shared" si="17"/>
        <v>36417861</v>
      </c>
      <c r="AN55" s="25">
        <f t="shared" si="17"/>
        <v>37277048.5</v>
      </c>
      <c r="AO55" s="25">
        <f t="shared" si="17"/>
        <v>38011236</v>
      </c>
      <c r="AP55" s="25">
        <f t="shared" si="17"/>
        <v>38841423.5</v>
      </c>
      <c r="AQ55" s="25">
        <f t="shared" si="17"/>
        <v>39700611</v>
      </c>
    </row>
    <row r="57" spans="1:43" x14ac:dyDescent="0.3">
      <c r="A57" s="4" t="s">
        <v>452</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row>
    <row r="58" spans="1:43" x14ac:dyDescent="0.3">
      <c r="A58" s="6" t="s">
        <v>453</v>
      </c>
      <c r="B58" s="22">
        <f>G58</f>
        <v>0</v>
      </c>
      <c r="C58" s="22">
        <f>SUM(H58:S58)</f>
        <v>1345500</v>
      </c>
      <c r="D58" s="22">
        <f>SUM(T58:AE58)</f>
        <v>1404000</v>
      </c>
      <c r="E58" s="22">
        <f>SUM(AF58:AQ58)</f>
        <v>624000</v>
      </c>
      <c r="F58" s="22">
        <f>SUM(B58:E58)</f>
        <v>3373500</v>
      </c>
      <c r="G58" s="22">
        <v>0</v>
      </c>
      <c r="H58" s="22">
        <f>(Hypothèses!$B$45*Hypothèses!$B$47*SUMPRODUCT($G$7:$AQ$7*((H$4-$G$4:$AQ$4)&gt;=0)*(1-0.5*((H$4-$G$4:$AQ$4)=0))*(Hypothèses!$B$71*((H$4-$G$4:$AQ$4)&lt;12)+Hypothèses!$B$72*((H$4-$G$4:$AQ$4)&gt;=12)*((H$4-$G$4:$AQ$4)&lt;Hypothèses!$B$74)+Hypothèses!$B$73*((H$4-$G$4:$AQ$4)&gt;=Hypothèses!$B$74))))*Hypothèses!$B$94+H94*Hypothèses!$B$102-Hypothèses!$B$103*Hypothèses!$B$47*H98</f>
        <v>58500</v>
      </c>
      <c r="I58" s="22">
        <f>(Hypothèses!$B$45*Hypothèses!$B$47*SUMPRODUCT($G$7:$AQ$7*((I$4-$G$4:$AQ$4)&gt;=0)*(1-0.5*((I$4-$G$4:$AQ$4)=0))*(Hypothèses!$B$71*((I$4-$G$4:$AQ$4)&lt;12)+Hypothèses!$B$72*((I$4-$G$4:$AQ$4)&gt;=12)*((I$4-$G$4:$AQ$4)&lt;Hypothèses!$B$74)+Hypothèses!$B$73*((I$4-$G$4:$AQ$4)&gt;=Hypothèses!$B$74))))*Hypothèses!$B$94+I94*Hypothèses!$B$102-Hypothèses!$B$103*Hypothèses!$B$47*I98</f>
        <v>117000</v>
      </c>
      <c r="J58" s="22">
        <f>(Hypothèses!$B$45*Hypothèses!$B$47*SUMPRODUCT($G$7:$AQ$7*((J$4-$G$4:$AQ$4)&gt;=0)*(1-0.5*((J$4-$G$4:$AQ$4)=0))*(Hypothèses!$B$71*((J$4-$G$4:$AQ$4)&lt;12)+Hypothèses!$B$72*((J$4-$G$4:$AQ$4)&gt;=12)*((J$4-$G$4:$AQ$4)&lt;Hypothèses!$B$74)+Hypothèses!$B$73*((J$4-$G$4:$AQ$4)&gt;=Hypothèses!$B$74))))*Hypothèses!$B$94+J94*Hypothèses!$B$102-Hypothèses!$B$103*Hypothèses!$B$47*J98</f>
        <v>117000</v>
      </c>
      <c r="K58" s="22">
        <f>(Hypothèses!$B$45*Hypothèses!$B$47*SUMPRODUCT($G$7:$AQ$7*((K$4-$G$4:$AQ$4)&gt;=0)*(1-0.5*((K$4-$G$4:$AQ$4)=0))*(Hypothèses!$B$71*((K$4-$G$4:$AQ$4)&lt;12)+Hypothèses!$B$72*((K$4-$G$4:$AQ$4)&gt;=12)*((K$4-$G$4:$AQ$4)&lt;Hypothèses!$B$74)+Hypothèses!$B$73*((K$4-$G$4:$AQ$4)&gt;=Hypothèses!$B$74))))*Hypothèses!$B$94+K94*Hypothèses!$B$102-Hypothèses!$B$103*Hypothèses!$B$47*K98</f>
        <v>117000</v>
      </c>
      <c r="L58" s="22">
        <f>(Hypothèses!$B$45*Hypothèses!$B$47*SUMPRODUCT($G$7:$AQ$7*((L$4-$G$4:$AQ$4)&gt;=0)*(1-0.5*((L$4-$G$4:$AQ$4)=0))*(Hypothèses!$B$71*((L$4-$G$4:$AQ$4)&lt;12)+Hypothèses!$B$72*((L$4-$G$4:$AQ$4)&gt;=12)*((L$4-$G$4:$AQ$4)&lt;Hypothèses!$B$74)+Hypothèses!$B$73*((L$4-$G$4:$AQ$4)&gt;=Hypothèses!$B$74))))*Hypothèses!$B$94+L94*Hypothèses!$B$102-Hypothèses!$B$103*Hypothèses!$B$47*L98</f>
        <v>117000</v>
      </c>
      <c r="M58" s="22">
        <f>(Hypothèses!$B$45*Hypothèses!$B$47*SUMPRODUCT($G$7:$AQ$7*((M$4-$G$4:$AQ$4)&gt;=0)*(1-0.5*((M$4-$G$4:$AQ$4)=0))*(Hypothèses!$B$71*((M$4-$G$4:$AQ$4)&lt;12)+Hypothèses!$B$72*((M$4-$G$4:$AQ$4)&gt;=12)*((M$4-$G$4:$AQ$4)&lt;Hypothèses!$B$74)+Hypothèses!$B$73*((M$4-$G$4:$AQ$4)&gt;=Hypothèses!$B$74))))*Hypothèses!$B$94+M94*Hypothèses!$B$102-Hypothèses!$B$103*Hypothèses!$B$47*M98</f>
        <v>117000</v>
      </c>
      <c r="N58" s="22">
        <f>(Hypothèses!$B$45*Hypothèses!$B$47*SUMPRODUCT($G$7:$AQ$7*((N$4-$G$4:$AQ$4)&gt;=0)*(1-0.5*((N$4-$G$4:$AQ$4)=0))*(Hypothèses!$B$71*((N$4-$G$4:$AQ$4)&lt;12)+Hypothèses!$B$72*((N$4-$G$4:$AQ$4)&gt;=12)*((N$4-$G$4:$AQ$4)&lt;Hypothèses!$B$74)+Hypothèses!$B$73*((N$4-$G$4:$AQ$4)&gt;=Hypothèses!$B$74))))*Hypothèses!$B$94+N94*Hypothèses!$B$102-Hypothèses!$B$103*Hypothèses!$B$47*N98</f>
        <v>117000</v>
      </c>
      <c r="O58" s="22">
        <f>(Hypothèses!$B$45*Hypothèses!$B$47*SUMPRODUCT($G$7:$AQ$7*((O$4-$G$4:$AQ$4)&gt;=0)*(1-0.5*((O$4-$G$4:$AQ$4)=0))*(Hypothèses!$B$71*((O$4-$G$4:$AQ$4)&lt;12)+Hypothèses!$B$72*((O$4-$G$4:$AQ$4)&gt;=12)*((O$4-$G$4:$AQ$4)&lt;Hypothèses!$B$74)+Hypothèses!$B$73*((O$4-$G$4:$AQ$4)&gt;=Hypothèses!$B$74))))*Hypothèses!$B$94+O94*Hypothèses!$B$102-Hypothèses!$B$103*Hypothèses!$B$47*O98</f>
        <v>117000</v>
      </c>
      <c r="P58" s="22">
        <f>(Hypothèses!$B$45*Hypothèses!$B$47*SUMPRODUCT($G$7:$AQ$7*((P$4-$G$4:$AQ$4)&gt;=0)*(1-0.5*((P$4-$G$4:$AQ$4)=0))*(Hypothèses!$B$71*((P$4-$G$4:$AQ$4)&lt;12)+Hypothèses!$B$72*((P$4-$G$4:$AQ$4)&gt;=12)*((P$4-$G$4:$AQ$4)&lt;Hypothèses!$B$74)+Hypothèses!$B$73*((P$4-$G$4:$AQ$4)&gt;=Hypothèses!$B$74))))*Hypothèses!$B$94+P94*Hypothèses!$B$102-Hypothèses!$B$103*Hypothèses!$B$47*P98</f>
        <v>117000</v>
      </c>
      <c r="Q58" s="22">
        <f>(Hypothèses!$B$45*Hypothèses!$B$47*SUMPRODUCT($G$7:$AQ$7*((Q$4-$G$4:$AQ$4)&gt;=0)*(1-0.5*((Q$4-$G$4:$AQ$4)=0))*(Hypothèses!$B$71*((Q$4-$G$4:$AQ$4)&lt;12)+Hypothèses!$B$72*((Q$4-$G$4:$AQ$4)&gt;=12)*((Q$4-$G$4:$AQ$4)&lt;Hypothèses!$B$74)+Hypothèses!$B$73*((Q$4-$G$4:$AQ$4)&gt;=Hypothèses!$B$74))))*Hypothèses!$B$94+Q94*Hypothèses!$B$102-Hypothèses!$B$103*Hypothèses!$B$47*Q98</f>
        <v>117000</v>
      </c>
      <c r="R58" s="22">
        <f>(Hypothèses!$B$45*Hypothèses!$B$47*SUMPRODUCT($G$7:$AQ$7*((R$4-$G$4:$AQ$4)&gt;=0)*(1-0.5*((R$4-$G$4:$AQ$4)=0))*(Hypothèses!$B$71*((R$4-$G$4:$AQ$4)&lt;12)+Hypothèses!$B$72*((R$4-$G$4:$AQ$4)&gt;=12)*((R$4-$G$4:$AQ$4)&lt;Hypothèses!$B$74)+Hypothèses!$B$73*((R$4-$G$4:$AQ$4)&gt;=Hypothèses!$B$74))))*Hypothèses!$B$94+R94*Hypothèses!$B$102-Hypothèses!$B$103*Hypothèses!$B$47*R98</f>
        <v>117000</v>
      </c>
      <c r="S58" s="22">
        <f>(Hypothèses!$B$45*Hypothèses!$B$47*SUMPRODUCT($G$7:$AQ$7*((S$4-$G$4:$AQ$4)&gt;=0)*(1-0.5*((S$4-$G$4:$AQ$4)=0))*(Hypothèses!$B$71*((S$4-$G$4:$AQ$4)&lt;12)+Hypothèses!$B$72*((S$4-$G$4:$AQ$4)&gt;=12)*((S$4-$G$4:$AQ$4)&lt;Hypothèses!$B$74)+Hypothèses!$B$73*((S$4-$G$4:$AQ$4)&gt;=Hypothèses!$B$74))))*Hypothèses!$B$94+S94*Hypothèses!$B$102-Hypothèses!$B$103*Hypothèses!$B$47*S98</f>
        <v>117000</v>
      </c>
      <c r="T58" s="22">
        <f>(Hypothèses!$B$45*Hypothèses!$B$47*SUMPRODUCT($G$7:$AQ$7*((T$4-$G$4:$AQ$4)&gt;=0)*(1-0.5*((T$4-$G$4:$AQ$4)=0))*(Hypothèses!$B$71*((T$4-$G$4:$AQ$4)&lt;12)+Hypothèses!$B$72*((T$4-$G$4:$AQ$4)&gt;=12)*((T$4-$G$4:$AQ$4)&lt;Hypothèses!$B$74)+Hypothèses!$B$73*((T$4-$G$4:$AQ$4)&gt;=Hypothèses!$B$74))))*Hypothèses!$B$94+T94*Hypothèses!$B$102-Hypothèses!$B$103*Hypothèses!$B$47*T98</f>
        <v>117000</v>
      </c>
      <c r="U58" s="22">
        <f>(Hypothèses!$B$45*Hypothèses!$B$47*SUMPRODUCT($G$7:$AQ$7*((U$4-$G$4:$AQ$4)&gt;=0)*(1-0.5*((U$4-$G$4:$AQ$4)=0))*(Hypothèses!$B$71*((U$4-$G$4:$AQ$4)&lt;12)+Hypothèses!$B$72*((U$4-$G$4:$AQ$4)&gt;=12)*((U$4-$G$4:$AQ$4)&lt;Hypothèses!$B$74)+Hypothèses!$B$73*((U$4-$G$4:$AQ$4)&gt;=Hypothèses!$B$74))))*Hypothèses!$B$94+U94*Hypothèses!$B$102-Hypothèses!$B$103*Hypothèses!$B$47*U98</f>
        <v>117000</v>
      </c>
      <c r="V58" s="22">
        <f>(Hypothèses!$B$45*Hypothèses!$B$47*SUMPRODUCT($G$7:$AQ$7*((V$4-$G$4:$AQ$4)&gt;=0)*(1-0.5*((V$4-$G$4:$AQ$4)=0))*(Hypothèses!$B$71*((V$4-$G$4:$AQ$4)&lt;12)+Hypothèses!$B$72*((V$4-$G$4:$AQ$4)&gt;=12)*((V$4-$G$4:$AQ$4)&lt;Hypothèses!$B$74)+Hypothèses!$B$73*((V$4-$G$4:$AQ$4)&gt;=Hypothèses!$B$74))))*Hypothèses!$B$94+V94*Hypothèses!$B$102-Hypothèses!$B$103*Hypothèses!$B$47*V98</f>
        <v>117000</v>
      </c>
      <c r="W58" s="22">
        <f>(Hypothèses!$B$45*Hypothèses!$B$47*SUMPRODUCT($G$7:$AQ$7*((W$4-$G$4:$AQ$4)&gt;=0)*(1-0.5*((W$4-$G$4:$AQ$4)=0))*(Hypothèses!$B$71*((W$4-$G$4:$AQ$4)&lt;12)+Hypothèses!$B$72*((W$4-$G$4:$AQ$4)&gt;=12)*((W$4-$G$4:$AQ$4)&lt;Hypothèses!$B$74)+Hypothèses!$B$73*((W$4-$G$4:$AQ$4)&gt;=Hypothèses!$B$74))))*Hypothèses!$B$94+W94*Hypothèses!$B$102-Hypothèses!$B$103*Hypothèses!$B$47*W98</f>
        <v>117000</v>
      </c>
      <c r="X58" s="22">
        <f>(Hypothèses!$B$45*Hypothèses!$B$47*SUMPRODUCT($G$7:$AQ$7*((X$4-$G$4:$AQ$4)&gt;=0)*(1-0.5*((X$4-$G$4:$AQ$4)=0))*(Hypothèses!$B$71*((X$4-$G$4:$AQ$4)&lt;12)+Hypothèses!$B$72*((X$4-$G$4:$AQ$4)&gt;=12)*((X$4-$G$4:$AQ$4)&lt;Hypothèses!$B$74)+Hypothèses!$B$73*((X$4-$G$4:$AQ$4)&gt;=Hypothèses!$B$74))))*Hypothèses!$B$94+X94*Hypothèses!$B$102-Hypothèses!$B$103*Hypothèses!$B$47*X98</f>
        <v>117000</v>
      </c>
      <c r="Y58" s="22">
        <f>(Hypothèses!$B$45*Hypothèses!$B$47*SUMPRODUCT($G$7:$AQ$7*((Y$4-$G$4:$AQ$4)&gt;=0)*(1-0.5*((Y$4-$G$4:$AQ$4)=0))*(Hypothèses!$B$71*((Y$4-$G$4:$AQ$4)&lt;12)+Hypothèses!$B$72*((Y$4-$G$4:$AQ$4)&gt;=12)*((Y$4-$G$4:$AQ$4)&lt;Hypothèses!$B$74)+Hypothèses!$B$73*((Y$4-$G$4:$AQ$4)&gt;=Hypothèses!$B$74))))*Hypothèses!$B$94+Y94*Hypothèses!$B$102-Hypothèses!$B$103*Hypothèses!$B$47*Y98</f>
        <v>117000</v>
      </c>
      <c r="Z58" s="22">
        <f>(Hypothèses!$B$45*Hypothèses!$B$47*SUMPRODUCT($G$7:$AQ$7*((Z$4-$G$4:$AQ$4)&gt;=0)*(1-0.5*((Z$4-$G$4:$AQ$4)=0))*(Hypothèses!$B$71*((Z$4-$G$4:$AQ$4)&lt;12)+Hypothèses!$B$72*((Z$4-$G$4:$AQ$4)&gt;=12)*((Z$4-$G$4:$AQ$4)&lt;Hypothèses!$B$74)+Hypothèses!$B$73*((Z$4-$G$4:$AQ$4)&gt;=Hypothèses!$B$74))))*Hypothèses!$B$94+Z94*Hypothèses!$B$102-Hypothèses!$B$103*Hypothèses!$B$47*Z98</f>
        <v>117000</v>
      </c>
      <c r="AA58" s="22">
        <f>(Hypothèses!$B$45*Hypothèses!$B$47*SUMPRODUCT($G$7:$AQ$7*((AA$4-$G$4:$AQ$4)&gt;=0)*(1-0.5*((AA$4-$G$4:$AQ$4)=0))*(Hypothèses!$B$71*((AA$4-$G$4:$AQ$4)&lt;12)+Hypothèses!$B$72*((AA$4-$G$4:$AQ$4)&gt;=12)*((AA$4-$G$4:$AQ$4)&lt;Hypothèses!$B$74)+Hypothèses!$B$73*((AA$4-$G$4:$AQ$4)&gt;=Hypothèses!$B$74))))*Hypothèses!$B$94+AA94*Hypothèses!$B$102-Hypothèses!$B$103*Hypothèses!$B$47*AA98</f>
        <v>117000</v>
      </c>
      <c r="AB58" s="22">
        <f>(Hypothèses!$B$45*Hypothèses!$B$47*SUMPRODUCT($G$7:$AQ$7*((AB$4-$G$4:$AQ$4)&gt;=0)*(1-0.5*((AB$4-$G$4:$AQ$4)=0))*(Hypothèses!$B$71*((AB$4-$G$4:$AQ$4)&lt;12)+Hypothèses!$B$72*((AB$4-$G$4:$AQ$4)&gt;=12)*((AB$4-$G$4:$AQ$4)&lt;Hypothèses!$B$74)+Hypothèses!$B$73*((AB$4-$G$4:$AQ$4)&gt;=Hypothèses!$B$74))))*Hypothèses!$B$94+AB94*Hypothèses!$B$102-Hypothèses!$B$103*Hypothèses!$B$47*AB98</f>
        <v>117000</v>
      </c>
      <c r="AC58" s="22">
        <f>(Hypothèses!$B$45*Hypothèses!$B$47*SUMPRODUCT($G$7:$AQ$7*((AC$4-$G$4:$AQ$4)&gt;=0)*(1-0.5*((AC$4-$G$4:$AQ$4)=0))*(Hypothèses!$B$71*((AC$4-$G$4:$AQ$4)&lt;12)+Hypothèses!$B$72*((AC$4-$G$4:$AQ$4)&gt;=12)*((AC$4-$G$4:$AQ$4)&lt;Hypothèses!$B$74)+Hypothèses!$B$73*((AC$4-$G$4:$AQ$4)&gt;=Hypothèses!$B$74))))*Hypothèses!$B$94+AC94*Hypothèses!$B$102-Hypothèses!$B$103*Hypothèses!$B$47*AC98</f>
        <v>117000</v>
      </c>
      <c r="AD58" s="22">
        <f>(Hypothèses!$B$45*Hypothèses!$B$47*SUMPRODUCT($G$7:$AQ$7*((AD$4-$G$4:$AQ$4)&gt;=0)*(1-0.5*((AD$4-$G$4:$AQ$4)=0))*(Hypothèses!$B$71*((AD$4-$G$4:$AQ$4)&lt;12)+Hypothèses!$B$72*((AD$4-$G$4:$AQ$4)&gt;=12)*((AD$4-$G$4:$AQ$4)&lt;Hypothèses!$B$74)+Hypothèses!$B$73*((AD$4-$G$4:$AQ$4)&gt;=Hypothèses!$B$74))))*Hypothèses!$B$94+AD94*Hypothèses!$B$102-Hypothèses!$B$103*Hypothèses!$B$47*AD98</f>
        <v>117000</v>
      </c>
      <c r="AE58" s="22">
        <f>(Hypothèses!$B$45*Hypothèses!$B$47*SUMPRODUCT($G$7:$AQ$7*((AE$4-$G$4:$AQ$4)&gt;=0)*(1-0.5*((AE$4-$G$4:$AQ$4)=0))*(Hypothèses!$B$71*((AE$4-$G$4:$AQ$4)&lt;12)+Hypothèses!$B$72*((AE$4-$G$4:$AQ$4)&gt;=12)*((AE$4-$G$4:$AQ$4)&lt;Hypothèses!$B$74)+Hypothèses!$B$73*((AE$4-$G$4:$AQ$4)&gt;=Hypothèses!$B$74))))*Hypothèses!$B$94+AE94*Hypothèses!$B$102-Hypothèses!$B$103*Hypothèses!$B$47*AE98</f>
        <v>117000</v>
      </c>
      <c r="AF58" s="22">
        <f>(Hypothèses!$B$45*Hypothèses!$B$47*SUMPRODUCT($G$7:$AQ$7*((AF$4-$G$4:$AQ$4)&gt;=0)*(1-0.5*((AF$4-$G$4:$AQ$4)=0))*(Hypothèses!$B$71*((AF$4-$G$4:$AQ$4)&lt;12)+Hypothèses!$B$72*((AF$4-$G$4:$AQ$4)&gt;=12)*((AF$4-$G$4:$AQ$4)&lt;Hypothèses!$B$74)+Hypothèses!$B$73*((AF$4-$G$4:$AQ$4)&gt;=Hypothèses!$B$74))))*Hypothèses!$B$94+AF94*Hypothèses!$B$102-Hypothèses!$B$103*Hypothèses!$B$47*AF98</f>
        <v>52000</v>
      </c>
      <c r="AG58" s="22">
        <f>(Hypothèses!$B$45*Hypothèses!$B$47*SUMPRODUCT($G$7:$AQ$7*((AG$4-$G$4:$AQ$4)&gt;=0)*(1-0.5*((AG$4-$G$4:$AQ$4)=0))*(Hypothèses!$B$71*((AG$4-$G$4:$AQ$4)&lt;12)+Hypothèses!$B$72*((AG$4-$G$4:$AQ$4)&gt;=12)*((AG$4-$G$4:$AQ$4)&lt;Hypothèses!$B$74)+Hypothèses!$B$73*((AG$4-$G$4:$AQ$4)&gt;=Hypothèses!$B$74))))*Hypothèses!$B$94+AG94*Hypothèses!$B$102-Hypothèses!$B$103*Hypothèses!$B$47*AG98</f>
        <v>52000</v>
      </c>
      <c r="AH58" s="22">
        <f>(Hypothèses!$B$45*Hypothèses!$B$47*SUMPRODUCT($G$7:$AQ$7*((AH$4-$G$4:$AQ$4)&gt;=0)*(1-0.5*((AH$4-$G$4:$AQ$4)=0))*(Hypothèses!$B$71*((AH$4-$G$4:$AQ$4)&lt;12)+Hypothèses!$B$72*((AH$4-$G$4:$AQ$4)&gt;=12)*((AH$4-$G$4:$AQ$4)&lt;Hypothèses!$B$74)+Hypothèses!$B$73*((AH$4-$G$4:$AQ$4)&gt;=Hypothèses!$B$74))))*Hypothèses!$B$94+AH94*Hypothèses!$B$102-Hypothèses!$B$103*Hypothèses!$B$47*AH98</f>
        <v>52000</v>
      </c>
      <c r="AI58" s="22">
        <f>(Hypothèses!$B$45*Hypothèses!$B$47*SUMPRODUCT($G$7:$AQ$7*((AI$4-$G$4:$AQ$4)&gt;=0)*(1-0.5*((AI$4-$G$4:$AQ$4)=0))*(Hypothèses!$B$71*((AI$4-$G$4:$AQ$4)&lt;12)+Hypothèses!$B$72*((AI$4-$G$4:$AQ$4)&gt;=12)*((AI$4-$G$4:$AQ$4)&lt;Hypothèses!$B$74)+Hypothèses!$B$73*((AI$4-$G$4:$AQ$4)&gt;=Hypothèses!$B$74))))*Hypothèses!$B$94+AI94*Hypothèses!$B$102-Hypothèses!$B$103*Hypothèses!$B$47*AI98</f>
        <v>52000</v>
      </c>
      <c r="AJ58" s="22">
        <f>(Hypothèses!$B$45*Hypothèses!$B$47*SUMPRODUCT($G$7:$AQ$7*((AJ$4-$G$4:$AQ$4)&gt;=0)*(1-0.5*((AJ$4-$G$4:$AQ$4)=0))*(Hypothèses!$B$71*((AJ$4-$G$4:$AQ$4)&lt;12)+Hypothèses!$B$72*((AJ$4-$G$4:$AQ$4)&gt;=12)*((AJ$4-$G$4:$AQ$4)&lt;Hypothèses!$B$74)+Hypothèses!$B$73*((AJ$4-$G$4:$AQ$4)&gt;=Hypothèses!$B$74))))*Hypothèses!$B$94+AJ94*Hypothèses!$B$102-Hypothèses!$B$103*Hypothèses!$B$47*AJ98</f>
        <v>52000</v>
      </c>
      <c r="AK58" s="22">
        <f>(Hypothèses!$B$45*Hypothèses!$B$47*SUMPRODUCT($G$7:$AQ$7*((AK$4-$G$4:$AQ$4)&gt;=0)*(1-0.5*((AK$4-$G$4:$AQ$4)=0))*(Hypothèses!$B$71*((AK$4-$G$4:$AQ$4)&lt;12)+Hypothèses!$B$72*((AK$4-$G$4:$AQ$4)&gt;=12)*((AK$4-$G$4:$AQ$4)&lt;Hypothèses!$B$74)+Hypothèses!$B$73*((AK$4-$G$4:$AQ$4)&gt;=Hypothèses!$B$74))))*Hypothèses!$B$94+AK94*Hypothèses!$B$102-Hypothèses!$B$103*Hypothèses!$B$47*AK98</f>
        <v>52000</v>
      </c>
      <c r="AL58" s="22">
        <f>(Hypothèses!$B$45*Hypothèses!$B$47*SUMPRODUCT($G$7:$AQ$7*((AL$4-$G$4:$AQ$4)&gt;=0)*(1-0.5*((AL$4-$G$4:$AQ$4)=0))*(Hypothèses!$B$71*((AL$4-$G$4:$AQ$4)&lt;12)+Hypothèses!$B$72*((AL$4-$G$4:$AQ$4)&gt;=12)*((AL$4-$G$4:$AQ$4)&lt;Hypothèses!$B$74)+Hypothèses!$B$73*((AL$4-$G$4:$AQ$4)&gt;=Hypothèses!$B$74))))*Hypothèses!$B$94+AL94*Hypothèses!$B$102-Hypothèses!$B$103*Hypothèses!$B$47*AL98</f>
        <v>52000</v>
      </c>
      <c r="AM58" s="22">
        <f>(Hypothèses!$B$45*Hypothèses!$B$47*SUMPRODUCT($G$7:$AQ$7*((AM$4-$G$4:$AQ$4)&gt;=0)*(1-0.5*((AM$4-$G$4:$AQ$4)=0))*(Hypothèses!$B$71*((AM$4-$G$4:$AQ$4)&lt;12)+Hypothèses!$B$72*((AM$4-$G$4:$AQ$4)&gt;=12)*((AM$4-$G$4:$AQ$4)&lt;Hypothèses!$B$74)+Hypothèses!$B$73*((AM$4-$G$4:$AQ$4)&gt;=Hypothèses!$B$74))))*Hypothèses!$B$94+AM94*Hypothèses!$B$102-Hypothèses!$B$103*Hypothèses!$B$47*AM98</f>
        <v>52000</v>
      </c>
      <c r="AN58" s="22">
        <f>(Hypothèses!$B$45*Hypothèses!$B$47*SUMPRODUCT($G$7:$AQ$7*((AN$4-$G$4:$AQ$4)&gt;=0)*(1-0.5*((AN$4-$G$4:$AQ$4)=0))*(Hypothèses!$B$71*((AN$4-$G$4:$AQ$4)&lt;12)+Hypothèses!$B$72*((AN$4-$G$4:$AQ$4)&gt;=12)*((AN$4-$G$4:$AQ$4)&lt;Hypothèses!$B$74)+Hypothèses!$B$73*((AN$4-$G$4:$AQ$4)&gt;=Hypothèses!$B$74))))*Hypothèses!$B$94+AN94*Hypothèses!$B$102-Hypothèses!$B$103*Hypothèses!$B$47*AN98</f>
        <v>52000</v>
      </c>
      <c r="AO58" s="22">
        <f>(Hypothèses!$B$45*Hypothèses!$B$47*SUMPRODUCT($G$7:$AQ$7*((AO$4-$G$4:$AQ$4)&gt;=0)*(1-0.5*((AO$4-$G$4:$AQ$4)=0))*(Hypothèses!$B$71*((AO$4-$G$4:$AQ$4)&lt;12)+Hypothèses!$B$72*((AO$4-$G$4:$AQ$4)&gt;=12)*((AO$4-$G$4:$AQ$4)&lt;Hypothèses!$B$74)+Hypothèses!$B$73*((AO$4-$G$4:$AQ$4)&gt;=Hypothèses!$B$74))))*Hypothèses!$B$94+AO94*Hypothèses!$B$102-Hypothèses!$B$103*Hypothèses!$B$47*AO98</f>
        <v>52000</v>
      </c>
      <c r="AP58" s="22">
        <f>(Hypothèses!$B$45*Hypothèses!$B$47*SUMPRODUCT($G$7:$AQ$7*((AP$4-$G$4:$AQ$4)&gt;=0)*(1-0.5*((AP$4-$G$4:$AQ$4)=0))*(Hypothèses!$B$71*((AP$4-$G$4:$AQ$4)&lt;12)+Hypothèses!$B$72*((AP$4-$G$4:$AQ$4)&gt;=12)*((AP$4-$G$4:$AQ$4)&lt;Hypothèses!$B$74)+Hypothèses!$B$73*((AP$4-$G$4:$AQ$4)&gt;=Hypothèses!$B$74))))*Hypothèses!$B$94+AP94*Hypothèses!$B$102-Hypothèses!$B$103*Hypothèses!$B$47*AP98</f>
        <v>52000</v>
      </c>
      <c r="AQ58" s="22">
        <f>(Hypothèses!$B$45*Hypothèses!$B$47*SUMPRODUCT($G$7:$AQ$7*((AQ$4-$G$4:$AQ$4)&gt;=0)*(1-0.5*((AQ$4-$G$4:$AQ$4)=0))*(Hypothèses!$B$71*((AQ$4-$G$4:$AQ$4)&lt;12)+Hypothèses!$B$72*((AQ$4-$G$4:$AQ$4)&gt;=12)*((AQ$4-$G$4:$AQ$4)&lt;Hypothèses!$B$74)+Hypothèses!$B$73*((AQ$4-$G$4:$AQ$4)&gt;=Hypothèses!$B$74))))*Hypothèses!$B$94+AQ94*Hypothèses!$B$102-Hypothèses!$B$103*Hypothèses!$B$47*AQ98</f>
        <v>52000</v>
      </c>
    </row>
    <row r="59" spans="1:43" x14ac:dyDescent="0.3">
      <c r="A59" s="6" t="s">
        <v>454</v>
      </c>
      <c r="B59" s="22">
        <f>G59</f>
        <v>0</v>
      </c>
      <c r="C59" s="22">
        <f>SUM(H59:S59)</f>
        <v>3752450</v>
      </c>
      <c r="D59" s="22">
        <f>SUM(T59:AE59)</f>
        <v>1825200</v>
      </c>
      <c r="E59" s="22">
        <f>SUM(AF59:AQ59)</f>
        <v>1825200</v>
      </c>
      <c r="F59" s="22">
        <f>SUM(B59:E59)</f>
        <v>7402850</v>
      </c>
      <c r="G59" s="22">
        <v>0</v>
      </c>
      <c r="H59" s="22">
        <f>(SUMPRODUCT($G$8:$AQ$8*((H$4-$G$4:$AQ$4)&gt;=0)*(1-0.5*((H$4-$G$4:$AQ$4)=0))*(MAX(Hypothèses!$B$75,0.6*Hypothèses!$B$46)*Hypothèses!$B$47*((H$4-$G$4:$AQ$4)&lt;Hypothèses!$B$76)+Hypothèses!$B$77*Hypothèses!$B$46*Hypothèses!$B$47*((H$4-$G$4:$AQ$4)&gt;=Hypothèses!$B$76))))*Hypothèses!$B$94+H95*Hypothèses!$B$102-Hypothèses!$B$103*Hypothèses!$B$47*H99</f>
        <v>163150</v>
      </c>
      <c r="I59" s="22">
        <f>(SUMPRODUCT($G$8:$AQ$8*((I$4-$G$4:$AQ$4)&gt;=0)*(1-0.5*((I$4-$G$4:$AQ$4)=0))*(MAX(Hypothèses!$B$75,0.6*Hypothèses!$B$46)*Hypothèses!$B$47*((I$4-$G$4:$AQ$4)&lt;Hypothèses!$B$76)+Hypothèses!$B$77*Hypothèses!$B$46*Hypothèses!$B$47*((I$4-$G$4:$AQ$4)&gt;=Hypothèses!$B$76))))*Hypothèses!$B$94+I95*Hypothèses!$B$102-Hypothèses!$B$103*Hypothèses!$B$47*I99</f>
        <v>326300</v>
      </c>
      <c r="J59" s="22">
        <f>(SUMPRODUCT($G$8:$AQ$8*((J$4-$G$4:$AQ$4)&gt;=0)*(1-0.5*((J$4-$G$4:$AQ$4)=0))*(MAX(Hypothèses!$B$75,0.6*Hypothèses!$B$46)*Hypothèses!$B$47*((J$4-$G$4:$AQ$4)&lt;Hypothèses!$B$76)+Hypothèses!$B$77*Hypothèses!$B$46*Hypothèses!$B$47*((J$4-$G$4:$AQ$4)&gt;=Hypothèses!$B$76))))*Hypothèses!$B$94+J95*Hypothèses!$B$102-Hypothèses!$B$103*Hypothèses!$B$47*J99</f>
        <v>326300</v>
      </c>
      <c r="K59" s="22">
        <f>(SUMPRODUCT($G$8:$AQ$8*((K$4-$G$4:$AQ$4)&gt;=0)*(1-0.5*((K$4-$G$4:$AQ$4)=0))*(MAX(Hypothèses!$B$75,0.6*Hypothèses!$B$46)*Hypothèses!$B$47*((K$4-$G$4:$AQ$4)&lt;Hypothèses!$B$76)+Hypothèses!$B$77*Hypothèses!$B$46*Hypothèses!$B$47*((K$4-$G$4:$AQ$4)&gt;=Hypothèses!$B$76))))*Hypothèses!$B$94+K95*Hypothèses!$B$102-Hypothèses!$B$103*Hypothèses!$B$47*K99</f>
        <v>326300</v>
      </c>
      <c r="L59" s="22">
        <f>(SUMPRODUCT($G$8:$AQ$8*((L$4-$G$4:$AQ$4)&gt;=0)*(1-0.5*((L$4-$G$4:$AQ$4)=0))*(MAX(Hypothèses!$B$75,0.6*Hypothèses!$B$46)*Hypothèses!$B$47*((L$4-$G$4:$AQ$4)&lt;Hypothèses!$B$76)+Hypothèses!$B$77*Hypothèses!$B$46*Hypothèses!$B$47*((L$4-$G$4:$AQ$4)&gt;=Hypothèses!$B$76))))*Hypothèses!$B$94+L95*Hypothèses!$B$102-Hypothèses!$B$103*Hypothèses!$B$47*L99</f>
        <v>326300</v>
      </c>
      <c r="M59" s="22">
        <f>(SUMPRODUCT($G$8:$AQ$8*((M$4-$G$4:$AQ$4)&gt;=0)*(1-0.5*((M$4-$G$4:$AQ$4)=0))*(MAX(Hypothèses!$B$75,0.6*Hypothèses!$B$46)*Hypothèses!$B$47*((M$4-$G$4:$AQ$4)&lt;Hypothèses!$B$76)+Hypothèses!$B$77*Hypothèses!$B$46*Hypothèses!$B$47*((M$4-$G$4:$AQ$4)&gt;=Hypothèses!$B$76))))*Hypothèses!$B$94+M95*Hypothèses!$B$102-Hypothèses!$B$103*Hypothèses!$B$47*M99</f>
        <v>326300</v>
      </c>
      <c r="N59" s="22">
        <f>(SUMPRODUCT($G$8:$AQ$8*((N$4-$G$4:$AQ$4)&gt;=0)*(1-0.5*((N$4-$G$4:$AQ$4)=0))*(MAX(Hypothèses!$B$75,0.6*Hypothèses!$B$46)*Hypothèses!$B$47*((N$4-$G$4:$AQ$4)&lt;Hypothèses!$B$76)+Hypothèses!$B$77*Hypothèses!$B$46*Hypothèses!$B$47*((N$4-$G$4:$AQ$4)&gt;=Hypothèses!$B$76))))*Hypothèses!$B$94+N95*Hypothèses!$B$102-Hypothèses!$B$103*Hypothèses!$B$47*N99</f>
        <v>326300</v>
      </c>
      <c r="O59" s="22">
        <f>(SUMPRODUCT($G$8:$AQ$8*((O$4-$G$4:$AQ$4)&gt;=0)*(1-0.5*((O$4-$G$4:$AQ$4)=0))*(MAX(Hypothèses!$B$75,0.6*Hypothèses!$B$46)*Hypothèses!$B$47*((O$4-$G$4:$AQ$4)&lt;Hypothèses!$B$76)+Hypothèses!$B$77*Hypothèses!$B$46*Hypothèses!$B$47*((O$4-$G$4:$AQ$4)&gt;=Hypothèses!$B$76))))*Hypothèses!$B$94+O95*Hypothèses!$B$102-Hypothèses!$B$103*Hypothèses!$B$47*O99</f>
        <v>326300</v>
      </c>
      <c r="P59" s="22">
        <f>(SUMPRODUCT($G$8:$AQ$8*((P$4-$G$4:$AQ$4)&gt;=0)*(1-0.5*((P$4-$G$4:$AQ$4)=0))*(MAX(Hypothèses!$B$75,0.6*Hypothèses!$B$46)*Hypothèses!$B$47*((P$4-$G$4:$AQ$4)&lt;Hypothèses!$B$76)+Hypothèses!$B$77*Hypothèses!$B$46*Hypothèses!$B$47*((P$4-$G$4:$AQ$4)&gt;=Hypothèses!$B$76))))*Hypothèses!$B$94+P95*Hypothèses!$B$102-Hypothèses!$B$103*Hypothèses!$B$47*P99</f>
        <v>326300</v>
      </c>
      <c r="Q59" s="22">
        <f>(SUMPRODUCT($G$8:$AQ$8*((Q$4-$G$4:$AQ$4)&gt;=0)*(1-0.5*((Q$4-$G$4:$AQ$4)=0))*(MAX(Hypothèses!$B$75,0.6*Hypothèses!$B$46)*Hypothèses!$B$47*((Q$4-$G$4:$AQ$4)&lt;Hypothèses!$B$76)+Hypothèses!$B$77*Hypothèses!$B$46*Hypothèses!$B$47*((Q$4-$G$4:$AQ$4)&gt;=Hypothèses!$B$76))))*Hypothèses!$B$94+Q95*Hypothèses!$B$102-Hypothèses!$B$103*Hypothèses!$B$47*Q99</f>
        <v>326300</v>
      </c>
      <c r="R59" s="22">
        <f>(SUMPRODUCT($G$8:$AQ$8*((R$4-$G$4:$AQ$4)&gt;=0)*(1-0.5*((R$4-$G$4:$AQ$4)=0))*(MAX(Hypothèses!$B$75,0.6*Hypothèses!$B$46)*Hypothèses!$B$47*((R$4-$G$4:$AQ$4)&lt;Hypothèses!$B$76)+Hypothèses!$B$77*Hypothèses!$B$46*Hypothèses!$B$47*((R$4-$G$4:$AQ$4)&gt;=Hypothèses!$B$76))))*Hypothèses!$B$94+R95*Hypothèses!$B$102-Hypothèses!$B$103*Hypothèses!$B$47*R99</f>
        <v>326300</v>
      </c>
      <c r="S59" s="22">
        <f>(SUMPRODUCT($G$8:$AQ$8*((S$4-$G$4:$AQ$4)&gt;=0)*(1-0.5*((S$4-$G$4:$AQ$4)=0))*(MAX(Hypothèses!$B$75,0.6*Hypothèses!$B$46)*Hypothèses!$B$47*((S$4-$G$4:$AQ$4)&lt;Hypothèses!$B$76)+Hypothèses!$B$77*Hypothèses!$B$46*Hypothèses!$B$47*((S$4-$G$4:$AQ$4)&gt;=Hypothèses!$B$76))))*Hypothèses!$B$94+S95*Hypothèses!$B$102-Hypothèses!$B$103*Hypothèses!$B$47*S99</f>
        <v>326300</v>
      </c>
      <c r="T59" s="22">
        <f>(SUMPRODUCT($G$8:$AQ$8*((T$4-$G$4:$AQ$4)&gt;=0)*(1-0.5*((T$4-$G$4:$AQ$4)=0))*(MAX(Hypothèses!$B$75,0.6*Hypothèses!$B$46)*Hypothèses!$B$47*((T$4-$G$4:$AQ$4)&lt;Hypothèses!$B$76)+Hypothèses!$B$77*Hypothèses!$B$46*Hypothèses!$B$47*((T$4-$G$4:$AQ$4)&gt;=Hypothèses!$B$76))))*Hypothèses!$B$94+T95*Hypothèses!$B$102-Hypothèses!$B$103*Hypothèses!$B$47*T99</f>
        <v>152100</v>
      </c>
      <c r="U59" s="22">
        <f>(SUMPRODUCT($G$8:$AQ$8*((U$4-$G$4:$AQ$4)&gt;=0)*(1-0.5*((U$4-$G$4:$AQ$4)=0))*(MAX(Hypothèses!$B$75,0.6*Hypothèses!$B$46)*Hypothèses!$B$47*((U$4-$G$4:$AQ$4)&lt;Hypothèses!$B$76)+Hypothèses!$B$77*Hypothèses!$B$46*Hypothèses!$B$47*((U$4-$G$4:$AQ$4)&gt;=Hypothèses!$B$76))))*Hypothèses!$B$94+U95*Hypothèses!$B$102-Hypothèses!$B$103*Hypothèses!$B$47*U99</f>
        <v>152100</v>
      </c>
      <c r="V59" s="22">
        <f>(SUMPRODUCT($G$8:$AQ$8*((V$4-$G$4:$AQ$4)&gt;=0)*(1-0.5*((V$4-$G$4:$AQ$4)=0))*(MAX(Hypothèses!$B$75,0.6*Hypothèses!$B$46)*Hypothèses!$B$47*((V$4-$G$4:$AQ$4)&lt;Hypothèses!$B$76)+Hypothèses!$B$77*Hypothèses!$B$46*Hypothèses!$B$47*((V$4-$G$4:$AQ$4)&gt;=Hypothèses!$B$76))))*Hypothèses!$B$94+V95*Hypothèses!$B$102-Hypothèses!$B$103*Hypothèses!$B$47*V99</f>
        <v>152100</v>
      </c>
      <c r="W59" s="22">
        <f>(SUMPRODUCT($G$8:$AQ$8*((W$4-$G$4:$AQ$4)&gt;=0)*(1-0.5*((W$4-$G$4:$AQ$4)=0))*(MAX(Hypothèses!$B$75,0.6*Hypothèses!$B$46)*Hypothèses!$B$47*((W$4-$G$4:$AQ$4)&lt;Hypothèses!$B$76)+Hypothèses!$B$77*Hypothèses!$B$46*Hypothèses!$B$47*((W$4-$G$4:$AQ$4)&gt;=Hypothèses!$B$76))))*Hypothèses!$B$94+W95*Hypothèses!$B$102-Hypothèses!$B$103*Hypothèses!$B$47*W99</f>
        <v>152100</v>
      </c>
      <c r="X59" s="22">
        <f>(SUMPRODUCT($G$8:$AQ$8*((X$4-$G$4:$AQ$4)&gt;=0)*(1-0.5*((X$4-$G$4:$AQ$4)=0))*(MAX(Hypothèses!$B$75,0.6*Hypothèses!$B$46)*Hypothèses!$B$47*((X$4-$G$4:$AQ$4)&lt;Hypothèses!$B$76)+Hypothèses!$B$77*Hypothèses!$B$46*Hypothèses!$B$47*((X$4-$G$4:$AQ$4)&gt;=Hypothèses!$B$76))))*Hypothèses!$B$94+X95*Hypothèses!$B$102-Hypothèses!$B$103*Hypothèses!$B$47*X99</f>
        <v>152100</v>
      </c>
      <c r="Y59" s="22">
        <f>(SUMPRODUCT($G$8:$AQ$8*((Y$4-$G$4:$AQ$4)&gt;=0)*(1-0.5*((Y$4-$G$4:$AQ$4)=0))*(MAX(Hypothèses!$B$75,0.6*Hypothèses!$B$46)*Hypothèses!$B$47*((Y$4-$G$4:$AQ$4)&lt;Hypothèses!$B$76)+Hypothèses!$B$77*Hypothèses!$B$46*Hypothèses!$B$47*((Y$4-$G$4:$AQ$4)&gt;=Hypothèses!$B$76))))*Hypothèses!$B$94+Y95*Hypothèses!$B$102-Hypothèses!$B$103*Hypothèses!$B$47*Y99</f>
        <v>152100</v>
      </c>
      <c r="Z59" s="22">
        <f>(SUMPRODUCT($G$8:$AQ$8*((Z$4-$G$4:$AQ$4)&gt;=0)*(1-0.5*((Z$4-$G$4:$AQ$4)=0))*(MAX(Hypothèses!$B$75,0.6*Hypothèses!$B$46)*Hypothèses!$B$47*((Z$4-$G$4:$AQ$4)&lt;Hypothèses!$B$76)+Hypothèses!$B$77*Hypothèses!$B$46*Hypothèses!$B$47*((Z$4-$G$4:$AQ$4)&gt;=Hypothèses!$B$76))))*Hypothèses!$B$94+Z95*Hypothèses!$B$102-Hypothèses!$B$103*Hypothèses!$B$47*Z99</f>
        <v>152100</v>
      </c>
      <c r="AA59" s="22">
        <f>(SUMPRODUCT($G$8:$AQ$8*((AA$4-$G$4:$AQ$4)&gt;=0)*(1-0.5*((AA$4-$G$4:$AQ$4)=0))*(MAX(Hypothèses!$B$75,0.6*Hypothèses!$B$46)*Hypothèses!$B$47*((AA$4-$G$4:$AQ$4)&lt;Hypothèses!$B$76)+Hypothèses!$B$77*Hypothèses!$B$46*Hypothèses!$B$47*((AA$4-$G$4:$AQ$4)&gt;=Hypothèses!$B$76))))*Hypothèses!$B$94+AA95*Hypothèses!$B$102-Hypothèses!$B$103*Hypothèses!$B$47*AA99</f>
        <v>152100</v>
      </c>
      <c r="AB59" s="22">
        <f>(SUMPRODUCT($G$8:$AQ$8*((AB$4-$G$4:$AQ$4)&gt;=0)*(1-0.5*((AB$4-$G$4:$AQ$4)=0))*(MAX(Hypothèses!$B$75,0.6*Hypothèses!$B$46)*Hypothèses!$B$47*((AB$4-$G$4:$AQ$4)&lt;Hypothèses!$B$76)+Hypothèses!$B$77*Hypothèses!$B$46*Hypothèses!$B$47*((AB$4-$G$4:$AQ$4)&gt;=Hypothèses!$B$76))))*Hypothèses!$B$94+AB95*Hypothèses!$B$102-Hypothèses!$B$103*Hypothèses!$B$47*AB99</f>
        <v>152100</v>
      </c>
      <c r="AC59" s="22">
        <f>(SUMPRODUCT($G$8:$AQ$8*((AC$4-$G$4:$AQ$4)&gt;=0)*(1-0.5*((AC$4-$G$4:$AQ$4)=0))*(MAX(Hypothèses!$B$75,0.6*Hypothèses!$B$46)*Hypothèses!$B$47*((AC$4-$G$4:$AQ$4)&lt;Hypothèses!$B$76)+Hypothèses!$B$77*Hypothèses!$B$46*Hypothèses!$B$47*((AC$4-$G$4:$AQ$4)&gt;=Hypothèses!$B$76))))*Hypothèses!$B$94+AC95*Hypothèses!$B$102-Hypothèses!$B$103*Hypothèses!$B$47*AC99</f>
        <v>152100</v>
      </c>
      <c r="AD59" s="22">
        <f>(SUMPRODUCT($G$8:$AQ$8*((AD$4-$G$4:$AQ$4)&gt;=0)*(1-0.5*((AD$4-$G$4:$AQ$4)=0))*(MAX(Hypothèses!$B$75,0.6*Hypothèses!$B$46)*Hypothèses!$B$47*((AD$4-$G$4:$AQ$4)&lt;Hypothèses!$B$76)+Hypothèses!$B$77*Hypothèses!$B$46*Hypothèses!$B$47*((AD$4-$G$4:$AQ$4)&gt;=Hypothèses!$B$76))))*Hypothèses!$B$94+AD95*Hypothèses!$B$102-Hypothèses!$B$103*Hypothèses!$B$47*AD99</f>
        <v>152100</v>
      </c>
      <c r="AE59" s="22">
        <f>(SUMPRODUCT($G$8:$AQ$8*((AE$4-$G$4:$AQ$4)&gt;=0)*(1-0.5*((AE$4-$G$4:$AQ$4)=0))*(MAX(Hypothèses!$B$75,0.6*Hypothèses!$B$46)*Hypothèses!$B$47*((AE$4-$G$4:$AQ$4)&lt;Hypothèses!$B$76)+Hypothèses!$B$77*Hypothèses!$B$46*Hypothèses!$B$47*((AE$4-$G$4:$AQ$4)&gt;=Hypothèses!$B$76))))*Hypothèses!$B$94+AE95*Hypothèses!$B$102-Hypothèses!$B$103*Hypothèses!$B$47*AE99</f>
        <v>152100</v>
      </c>
      <c r="AF59" s="22">
        <f>(SUMPRODUCT($G$8:$AQ$8*((AF$4-$G$4:$AQ$4)&gt;=0)*(1-0.5*((AF$4-$G$4:$AQ$4)=0))*(MAX(Hypothèses!$B$75,0.6*Hypothèses!$B$46)*Hypothèses!$B$47*((AF$4-$G$4:$AQ$4)&lt;Hypothèses!$B$76)+Hypothèses!$B$77*Hypothèses!$B$46*Hypothèses!$B$47*((AF$4-$G$4:$AQ$4)&gt;=Hypothèses!$B$76))))*Hypothèses!$B$94+AF95*Hypothèses!$B$102-Hypothèses!$B$103*Hypothèses!$B$47*AF99</f>
        <v>152100</v>
      </c>
      <c r="AG59" s="22">
        <f>(SUMPRODUCT($G$8:$AQ$8*((AG$4-$G$4:$AQ$4)&gt;=0)*(1-0.5*((AG$4-$G$4:$AQ$4)=0))*(MAX(Hypothèses!$B$75,0.6*Hypothèses!$B$46)*Hypothèses!$B$47*((AG$4-$G$4:$AQ$4)&lt;Hypothèses!$B$76)+Hypothèses!$B$77*Hypothèses!$B$46*Hypothèses!$B$47*((AG$4-$G$4:$AQ$4)&gt;=Hypothèses!$B$76))))*Hypothèses!$B$94+AG95*Hypothèses!$B$102-Hypothèses!$B$103*Hypothèses!$B$47*AG99</f>
        <v>152100</v>
      </c>
      <c r="AH59" s="22">
        <f>(SUMPRODUCT($G$8:$AQ$8*((AH$4-$G$4:$AQ$4)&gt;=0)*(1-0.5*((AH$4-$G$4:$AQ$4)=0))*(MAX(Hypothèses!$B$75,0.6*Hypothèses!$B$46)*Hypothèses!$B$47*((AH$4-$G$4:$AQ$4)&lt;Hypothèses!$B$76)+Hypothèses!$B$77*Hypothèses!$B$46*Hypothèses!$B$47*((AH$4-$G$4:$AQ$4)&gt;=Hypothèses!$B$76))))*Hypothèses!$B$94+AH95*Hypothèses!$B$102-Hypothèses!$B$103*Hypothèses!$B$47*AH99</f>
        <v>152100</v>
      </c>
      <c r="AI59" s="22">
        <f>(SUMPRODUCT($G$8:$AQ$8*((AI$4-$G$4:$AQ$4)&gt;=0)*(1-0.5*((AI$4-$G$4:$AQ$4)=0))*(MAX(Hypothèses!$B$75,0.6*Hypothèses!$B$46)*Hypothèses!$B$47*((AI$4-$G$4:$AQ$4)&lt;Hypothèses!$B$76)+Hypothèses!$B$77*Hypothèses!$B$46*Hypothèses!$B$47*((AI$4-$G$4:$AQ$4)&gt;=Hypothèses!$B$76))))*Hypothèses!$B$94+AI95*Hypothèses!$B$102-Hypothèses!$B$103*Hypothèses!$B$47*AI99</f>
        <v>152100</v>
      </c>
      <c r="AJ59" s="22">
        <f>(SUMPRODUCT($G$8:$AQ$8*((AJ$4-$G$4:$AQ$4)&gt;=0)*(1-0.5*((AJ$4-$G$4:$AQ$4)=0))*(MAX(Hypothèses!$B$75,0.6*Hypothèses!$B$46)*Hypothèses!$B$47*((AJ$4-$G$4:$AQ$4)&lt;Hypothèses!$B$76)+Hypothèses!$B$77*Hypothèses!$B$46*Hypothèses!$B$47*((AJ$4-$G$4:$AQ$4)&gt;=Hypothèses!$B$76))))*Hypothèses!$B$94+AJ95*Hypothèses!$B$102-Hypothèses!$B$103*Hypothèses!$B$47*AJ99</f>
        <v>152100</v>
      </c>
      <c r="AK59" s="22">
        <f>(SUMPRODUCT($G$8:$AQ$8*((AK$4-$G$4:$AQ$4)&gt;=0)*(1-0.5*((AK$4-$G$4:$AQ$4)=0))*(MAX(Hypothèses!$B$75,0.6*Hypothèses!$B$46)*Hypothèses!$B$47*((AK$4-$G$4:$AQ$4)&lt;Hypothèses!$B$76)+Hypothèses!$B$77*Hypothèses!$B$46*Hypothèses!$B$47*((AK$4-$G$4:$AQ$4)&gt;=Hypothèses!$B$76))))*Hypothèses!$B$94+AK95*Hypothèses!$B$102-Hypothèses!$B$103*Hypothèses!$B$47*AK99</f>
        <v>152100</v>
      </c>
      <c r="AL59" s="22">
        <f>(SUMPRODUCT($G$8:$AQ$8*((AL$4-$G$4:$AQ$4)&gt;=0)*(1-0.5*((AL$4-$G$4:$AQ$4)=0))*(MAX(Hypothèses!$B$75,0.6*Hypothèses!$B$46)*Hypothèses!$B$47*((AL$4-$G$4:$AQ$4)&lt;Hypothèses!$B$76)+Hypothèses!$B$77*Hypothèses!$B$46*Hypothèses!$B$47*((AL$4-$G$4:$AQ$4)&gt;=Hypothèses!$B$76))))*Hypothèses!$B$94+AL95*Hypothèses!$B$102-Hypothèses!$B$103*Hypothèses!$B$47*AL99</f>
        <v>152100</v>
      </c>
      <c r="AM59" s="22">
        <f>(SUMPRODUCT($G$8:$AQ$8*((AM$4-$G$4:$AQ$4)&gt;=0)*(1-0.5*((AM$4-$G$4:$AQ$4)=0))*(MAX(Hypothèses!$B$75,0.6*Hypothèses!$B$46)*Hypothèses!$B$47*((AM$4-$G$4:$AQ$4)&lt;Hypothèses!$B$76)+Hypothèses!$B$77*Hypothèses!$B$46*Hypothèses!$B$47*((AM$4-$G$4:$AQ$4)&gt;=Hypothèses!$B$76))))*Hypothèses!$B$94+AM95*Hypothèses!$B$102-Hypothèses!$B$103*Hypothèses!$B$47*AM99</f>
        <v>152100</v>
      </c>
      <c r="AN59" s="22">
        <f>(SUMPRODUCT($G$8:$AQ$8*((AN$4-$G$4:$AQ$4)&gt;=0)*(1-0.5*((AN$4-$G$4:$AQ$4)=0))*(MAX(Hypothèses!$B$75,0.6*Hypothèses!$B$46)*Hypothèses!$B$47*((AN$4-$G$4:$AQ$4)&lt;Hypothèses!$B$76)+Hypothèses!$B$77*Hypothèses!$B$46*Hypothèses!$B$47*((AN$4-$G$4:$AQ$4)&gt;=Hypothèses!$B$76))))*Hypothèses!$B$94+AN95*Hypothèses!$B$102-Hypothèses!$B$103*Hypothèses!$B$47*AN99</f>
        <v>152100</v>
      </c>
      <c r="AO59" s="22">
        <f>(SUMPRODUCT($G$8:$AQ$8*((AO$4-$G$4:$AQ$4)&gt;=0)*(1-0.5*((AO$4-$G$4:$AQ$4)=0))*(MAX(Hypothèses!$B$75,0.6*Hypothèses!$B$46)*Hypothèses!$B$47*((AO$4-$G$4:$AQ$4)&lt;Hypothèses!$B$76)+Hypothèses!$B$77*Hypothèses!$B$46*Hypothèses!$B$47*((AO$4-$G$4:$AQ$4)&gt;=Hypothèses!$B$76))))*Hypothèses!$B$94+AO95*Hypothèses!$B$102-Hypothèses!$B$103*Hypothèses!$B$47*AO99</f>
        <v>152100</v>
      </c>
      <c r="AP59" s="22">
        <f>(SUMPRODUCT($G$8:$AQ$8*((AP$4-$G$4:$AQ$4)&gt;=0)*(1-0.5*((AP$4-$G$4:$AQ$4)=0))*(MAX(Hypothèses!$B$75,0.6*Hypothèses!$B$46)*Hypothèses!$B$47*((AP$4-$G$4:$AQ$4)&lt;Hypothèses!$B$76)+Hypothèses!$B$77*Hypothèses!$B$46*Hypothèses!$B$47*((AP$4-$G$4:$AQ$4)&gt;=Hypothèses!$B$76))))*Hypothèses!$B$94+AP95*Hypothèses!$B$102-Hypothèses!$B$103*Hypothèses!$B$47*AP99</f>
        <v>152100</v>
      </c>
      <c r="AQ59" s="22">
        <f>(SUMPRODUCT($G$8:$AQ$8*((AQ$4-$G$4:$AQ$4)&gt;=0)*(1-0.5*((AQ$4-$G$4:$AQ$4)=0))*(MAX(Hypothèses!$B$75,0.6*Hypothèses!$B$46)*Hypothèses!$B$47*((AQ$4-$G$4:$AQ$4)&lt;Hypothèses!$B$76)+Hypothèses!$B$77*Hypothèses!$B$46*Hypothèses!$B$47*((AQ$4-$G$4:$AQ$4)&gt;=Hypothèses!$B$76))))*Hypothèses!$B$94+AQ95*Hypothèses!$B$102-Hypothèses!$B$103*Hypothèses!$B$47*AQ99</f>
        <v>152100</v>
      </c>
    </row>
    <row r="60" spans="1:43" x14ac:dyDescent="0.3">
      <c r="A60" s="6" t="s">
        <v>455</v>
      </c>
      <c r="B60" s="22">
        <f>G60</f>
        <v>0</v>
      </c>
      <c r="C60" s="22">
        <f>SUM(H60:S60)</f>
        <v>5201625</v>
      </c>
      <c r="D60" s="22">
        <f>SUM(T60:AE60)</f>
        <v>6809400</v>
      </c>
      <c r="E60" s="22">
        <f>SUM(AF60:AQ60)</f>
        <v>6809400</v>
      </c>
      <c r="F60" s="22">
        <f>SUM(B60:E60)</f>
        <v>18820425</v>
      </c>
      <c r="G60" s="22">
        <v>0</v>
      </c>
      <c r="H60" s="22">
        <f>(IF(H$4&lt;Hypothèses!$B$59,0,Hypothèses!$B$57*Hypothèses!$B$60*Hypothèses!$B$47*IF(H$4=Hypothèses!$B$59,0.5,1)*IF(H$4-Hypothèses!$B$59&lt;12,Hypothèses!$B$62,IF(H$4-Hypothèses!$B$59&lt;Hypothèses!$B$65,Hypothèses!$B$63,Hypothèses!$B$64))))*Hypothèses!$B$94+H92*Hypothèses!$B$63-Hypothèses!$B$103*Hypothèses!$B$47*H100</f>
        <v>189150</v>
      </c>
      <c r="I60" s="22">
        <f>(IF(I$4&lt;Hypothèses!$B$59,0,Hypothèses!$B$57*Hypothèses!$B$60*Hypothèses!$B$47*IF(I$4=Hypothèses!$B$59,0.5,1)*IF(I$4-Hypothèses!$B$59&lt;12,Hypothèses!$B$62,IF(I$4-Hypothèses!$B$59&lt;Hypothèses!$B$65,Hypothèses!$B$63,Hypothèses!$B$64))))*Hypothèses!$B$94+I92*Hypothèses!$B$63-Hypothèses!$B$103*Hypothèses!$B$47*I100</f>
        <v>378300</v>
      </c>
      <c r="J60" s="22">
        <f>(IF(J$4&lt;Hypothèses!$B$59,0,Hypothèses!$B$57*Hypothèses!$B$60*Hypothèses!$B$47*IF(J$4=Hypothèses!$B$59,0.5,1)*IF(J$4-Hypothèses!$B$59&lt;12,Hypothèses!$B$62,IF(J$4-Hypothèses!$B$59&lt;Hypothèses!$B$65,Hypothèses!$B$63,Hypothèses!$B$64))))*Hypothèses!$B$94+J92*Hypothèses!$B$63-Hypothèses!$B$103*Hypothèses!$B$47*J100</f>
        <v>378300</v>
      </c>
      <c r="K60" s="22">
        <f>(IF(K$4&lt;Hypothèses!$B$59,0,Hypothèses!$B$57*Hypothèses!$B$60*Hypothèses!$B$47*IF(K$4=Hypothèses!$B$59,0.5,1)*IF(K$4-Hypothèses!$B$59&lt;12,Hypothèses!$B$62,IF(K$4-Hypothèses!$B$59&lt;Hypothèses!$B$65,Hypothèses!$B$63,Hypothèses!$B$64))))*Hypothèses!$B$94+K92*Hypothèses!$B$63-Hypothèses!$B$103*Hypothèses!$B$47*K100</f>
        <v>378300</v>
      </c>
      <c r="L60" s="22">
        <f>(IF(L$4&lt;Hypothèses!$B$59,0,Hypothèses!$B$57*Hypothèses!$B$60*Hypothèses!$B$47*IF(L$4=Hypothèses!$B$59,0.5,1)*IF(L$4-Hypothèses!$B$59&lt;12,Hypothèses!$B$62,IF(L$4-Hypothèses!$B$59&lt;Hypothèses!$B$65,Hypothèses!$B$63,Hypothèses!$B$64))))*Hypothèses!$B$94+L92*Hypothèses!$B$63-Hypothèses!$B$103*Hypothèses!$B$47*L100</f>
        <v>409825</v>
      </c>
      <c r="M60" s="22">
        <f>(IF(M$4&lt;Hypothèses!$B$59,0,Hypothèses!$B$57*Hypothèses!$B$60*Hypothèses!$B$47*IF(M$4=Hypothèses!$B$59,0.5,1)*IF(M$4-Hypothèses!$B$59&lt;12,Hypothèses!$B$62,IF(M$4-Hypothèses!$B$59&lt;Hypothèses!$B$65,Hypothèses!$B$63,Hypothèses!$B$64))))*Hypothèses!$B$94+M92*Hypothèses!$B$63-Hypothèses!$B$103*Hypothèses!$B$47*M100</f>
        <v>441350</v>
      </c>
      <c r="N60" s="22">
        <f>(IF(N$4&lt;Hypothèses!$B$59,0,Hypothèses!$B$57*Hypothèses!$B$60*Hypothèses!$B$47*IF(N$4=Hypothèses!$B$59,0.5,1)*IF(N$4-Hypothèses!$B$59&lt;12,Hypothèses!$B$62,IF(N$4-Hypothèses!$B$59&lt;Hypothèses!$B$65,Hypothèses!$B$63,Hypothèses!$B$64))))*Hypothèses!$B$94+N92*Hypothèses!$B$63-Hypothèses!$B$103*Hypothèses!$B$47*N100</f>
        <v>441350</v>
      </c>
      <c r="O60" s="22">
        <f>(IF(O$4&lt;Hypothèses!$B$59,0,Hypothèses!$B$57*Hypothèses!$B$60*Hypothèses!$B$47*IF(O$4=Hypothèses!$B$59,0.5,1)*IF(O$4-Hypothèses!$B$59&lt;12,Hypothèses!$B$62,IF(O$4-Hypothèses!$B$59&lt;Hypothèses!$B$65,Hypothèses!$B$63,Hypothèses!$B$64))))*Hypothèses!$B$94+O92*Hypothèses!$B$63-Hypothèses!$B$103*Hypothèses!$B$47*O100</f>
        <v>472875</v>
      </c>
      <c r="P60" s="22">
        <f>(IF(P$4&lt;Hypothèses!$B$59,0,Hypothèses!$B$57*Hypothèses!$B$60*Hypothèses!$B$47*IF(P$4=Hypothèses!$B$59,0.5,1)*IF(P$4-Hypothèses!$B$59&lt;12,Hypothèses!$B$62,IF(P$4-Hypothèses!$B$59&lt;Hypothèses!$B$65,Hypothèses!$B$63,Hypothèses!$B$64))))*Hypothèses!$B$94+P92*Hypothèses!$B$63-Hypothèses!$B$103*Hypothèses!$B$47*P100</f>
        <v>504400</v>
      </c>
      <c r="Q60" s="22">
        <f>(IF(Q$4&lt;Hypothèses!$B$59,0,Hypothèses!$B$57*Hypothèses!$B$60*Hypothèses!$B$47*IF(Q$4=Hypothèses!$B$59,0.5,1)*IF(Q$4-Hypothèses!$B$59&lt;12,Hypothèses!$B$62,IF(Q$4-Hypothèses!$B$59&lt;Hypothèses!$B$65,Hypothèses!$B$63,Hypothèses!$B$64))))*Hypothèses!$B$94+Q92*Hypothèses!$B$63-Hypothèses!$B$103*Hypothèses!$B$47*Q100</f>
        <v>504400</v>
      </c>
      <c r="R60" s="22">
        <f>(IF(R$4&lt;Hypothèses!$B$59,0,Hypothèses!$B$57*Hypothèses!$B$60*Hypothèses!$B$47*IF(R$4=Hypothèses!$B$59,0.5,1)*IF(R$4-Hypothèses!$B$59&lt;12,Hypothèses!$B$62,IF(R$4-Hypothèses!$B$59&lt;Hypothèses!$B$65,Hypothèses!$B$63,Hypothèses!$B$64))))*Hypothèses!$B$94+R92*Hypothèses!$B$63-Hypothèses!$B$103*Hypothèses!$B$47*R100</f>
        <v>535925</v>
      </c>
      <c r="S60" s="22">
        <f>(IF(S$4&lt;Hypothèses!$B$59,0,Hypothèses!$B$57*Hypothèses!$B$60*Hypothèses!$B$47*IF(S$4=Hypothèses!$B$59,0.5,1)*IF(S$4-Hypothèses!$B$59&lt;12,Hypothèses!$B$62,IF(S$4-Hypothèses!$B$59&lt;Hypothèses!$B$65,Hypothèses!$B$63,Hypothèses!$B$64))))*Hypothèses!$B$94+S92*Hypothèses!$B$63-Hypothèses!$B$103*Hypothèses!$B$47*S100</f>
        <v>567450</v>
      </c>
      <c r="T60" s="22">
        <f>(IF(T$4&lt;Hypothèses!$B$59,0,Hypothèses!$B$57*Hypothèses!$B$60*Hypothèses!$B$47*IF(T$4=Hypothèses!$B$59,0.5,1)*IF(T$4-Hypothèses!$B$59&lt;12,Hypothèses!$B$62,IF(T$4-Hypothèses!$B$59&lt;Hypothèses!$B$65,Hypothèses!$B$63,Hypothèses!$B$64))))*Hypothèses!$B$94+T92*Hypothèses!$B$63-Hypothèses!$B$103*Hypothèses!$B$47*T100</f>
        <v>567450</v>
      </c>
      <c r="U60" s="22">
        <f>(IF(U$4&lt;Hypothèses!$B$59,0,Hypothèses!$B$57*Hypothèses!$B$60*Hypothèses!$B$47*IF(U$4=Hypothèses!$B$59,0.5,1)*IF(U$4-Hypothèses!$B$59&lt;12,Hypothèses!$B$62,IF(U$4-Hypothèses!$B$59&lt;Hypothèses!$B$65,Hypothèses!$B$63,Hypothèses!$B$64))))*Hypothèses!$B$94+U92*Hypothèses!$B$63-Hypothèses!$B$103*Hypothèses!$B$47*U100</f>
        <v>567450</v>
      </c>
      <c r="V60" s="22">
        <f>(IF(V$4&lt;Hypothèses!$B$59,0,Hypothèses!$B$57*Hypothèses!$B$60*Hypothèses!$B$47*IF(V$4=Hypothèses!$B$59,0.5,1)*IF(V$4-Hypothèses!$B$59&lt;12,Hypothèses!$B$62,IF(V$4-Hypothèses!$B$59&lt;Hypothèses!$B$65,Hypothèses!$B$63,Hypothèses!$B$64))))*Hypothèses!$B$94+V92*Hypothèses!$B$63-Hypothèses!$B$103*Hypothèses!$B$47*V100</f>
        <v>567450</v>
      </c>
      <c r="W60" s="22">
        <f>(IF(W$4&lt;Hypothèses!$B$59,0,Hypothèses!$B$57*Hypothèses!$B$60*Hypothèses!$B$47*IF(W$4=Hypothèses!$B$59,0.5,1)*IF(W$4-Hypothèses!$B$59&lt;12,Hypothèses!$B$62,IF(W$4-Hypothèses!$B$59&lt;Hypothèses!$B$65,Hypothèses!$B$63,Hypothèses!$B$64))))*Hypothèses!$B$94+W92*Hypothèses!$B$63-Hypothèses!$B$103*Hypothèses!$B$47*W100</f>
        <v>567450</v>
      </c>
      <c r="X60" s="22">
        <f>(IF(X$4&lt;Hypothèses!$B$59,0,Hypothèses!$B$57*Hypothèses!$B$60*Hypothèses!$B$47*IF(X$4=Hypothèses!$B$59,0.5,1)*IF(X$4-Hypothèses!$B$59&lt;12,Hypothèses!$B$62,IF(X$4-Hypothèses!$B$59&lt;Hypothèses!$B$65,Hypothèses!$B$63,Hypothèses!$B$64))))*Hypothèses!$B$94+X92*Hypothèses!$B$63-Hypothèses!$B$103*Hypothèses!$B$47*X100</f>
        <v>567450</v>
      </c>
      <c r="Y60" s="22">
        <f>(IF(Y$4&lt;Hypothèses!$B$59,0,Hypothèses!$B$57*Hypothèses!$B$60*Hypothèses!$B$47*IF(Y$4=Hypothèses!$B$59,0.5,1)*IF(Y$4-Hypothèses!$B$59&lt;12,Hypothèses!$B$62,IF(Y$4-Hypothèses!$B$59&lt;Hypothèses!$B$65,Hypothèses!$B$63,Hypothèses!$B$64))))*Hypothèses!$B$94+Y92*Hypothèses!$B$63-Hypothèses!$B$103*Hypothèses!$B$47*Y100</f>
        <v>567450</v>
      </c>
      <c r="Z60" s="22">
        <f>(IF(Z$4&lt;Hypothèses!$B$59,0,Hypothèses!$B$57*Hypothèses!$B$60*Hypothèses!$B$47*IF(Z$4=Hypothèses!$B$59,0.5,1)*IF(Z$4-Hypothèses!$B$59&lt;12,Hypothèses!$B$62,IF(Z$4-Hypothèses!$B$59&lt;Hypothèses!$B$65,Hypothèses!$B$63,Hypothèses!$B$64))))*Hypothèses!$B$94+Z92*Hypothèses!$B$63-Hypothèses!$B$103*Hypothèses!$B$47*Z100</f>
        <v>567450</v>
      </c>
      <c r="AA60" s="22">
        <f>(IF(AA$4&lt;Hypothèses!$B$59,0,Hypothèses!$B$57*Hypothèses!$B$60*Hypothèses!$B$47*IF(AA$4=Hypothèses!$B$59,0.5,1)*IF(AA$4-Hypothèses!$B$59&lt;12,Hypothèses!$B$62,IF(AA$4-Hypothèses!$B$59&lt;Hypothèses!$B$65,Hypothèses!$B$63,Hypothèses!$B$64))))*Hypothèses!$B$94+AA92*Hypothèses!$B$63-Hypothèses!$B$103*Hypothèses!$B$47*AA100</f>
        <v>567450</v>
      </c>
      <c r="AB60" s="22">
        <f>(IF(AB$4&lt;Hypothèses!$B$59,0,Hypothèses!$B$57*Hypothèses!$B$60*Hypothèses!$B$47*IF(AB$4=Hypothèses!$B$59,0.5,1)*IF(AB$4-Hypothèses!$B$59&lt;12,Hypothèses!$B$62,IF(AB$4-Hypothèses!$B$59&lt;Hypothèses!$B$65,Hypothèses!$B$63,Hypothèses!$B$64))))*Hypothèses!$B$94+AB92*Hypothèses!$B$63-Hypothèses!$B$103*Hypothèses!$B$47*AB100</f>
        <v>567450</v>
      </c>
      <c r="AC60" s="22">
        <f>(IF(AC$4&lt;Hypothèses!$B$59,0,Hypothèses!$B$57*Hypothèses!$B$60*Hypothèses!$B$47*IF(AC$4=Hypothèses!$B$59,0.5,1)*IF(AC$4-Hypothèses!$B$59&lt;12,Hypothèses!$B$62,IF(AC$4-Hypothèses!$B$59&lt;Hypothèses!$B$65,Hypothèses!$B$63,Hypothèses!$B$64))))*Hypothèses!$B$94+AC92*Hypothèses!$B$63-Hypothèses!$B$103*Hypothèses!$B$47*AC100</f>
        <v>567450</v>
      </c>
      <c r="AD60" s="22">
        <f>(IF(AD$4&lt;Hypothèses!$B$59,0,Hypothèses!$B$57*Hypothèses!$B$60*Hypothèses!$B$47*IF(AD$4=Hypothèses!$B$59,0.5,1)*IF(AD$4-Hypothèses!$B$59&lt;12,Hypothèses!$B$62,IF(AD$4-Hypothèses!$B$59&lt;Hypothèses!$B$65,Hypothèses!$B$63,Hypothèses!$B$64))))*Hypothèses!$B$94+AD92*Hypothèses!$B$63-Hypothèses!$B$103*Hypothèses!$B$47*AD100</f>
        <v>567450</v>
      </c>
      <c r="AE60" s="22">
        <f>(IF(AE$4&lt;Hypothèses!$B$59,0,Hypothèses!$B$57*Hypothèses!$B$60*Hypothèses!$B$47*IF(AE$4=Hypothèses!$B$59,0.5,1)*IF(AE$4-Hypothèses!$B$59&lt;12,Hypothèses!$B$62,IF(AE$4-Hypothèses!$B$59&lt;Hypothèses!$B$65,Hypothèses!$B$63,Hypothèses!$B$64))))*Hypothèses!$B$94+AE92*Hypothèses!$B$63-Hypothèses!$B$103*Hypothèses!$B$47*AE100</f>
        <v>567450</v>
      </c>
      <c r="AF60" s="22">
        <f>(IF(AF$4&lt;Hypothèses!$B$59,0,Hypothèses!$B$57*Hypothèses!$B$60*Hypothèses!$B$47*IF(AF$4=Hypothèses!$B$59,0.5,1)*IF(AF$4-Hypothèses!$B$59&lt;12,Hypothèses!$B$62,IF(AF$4-Hypothèses!$B$59&lt;Hypothèses!$B$65,Hypothèses!$B$63,Hypothèses!$B$64))))*Hypothèses!$B$94+AF92*Hypothèses!$B$63-Hypothèses!$B$103*Hypothèses!$B$47*AF100</f>
        <v>567450</v>
      </c>
      <c r="AG60" s="22">
        <f>(IF(AG$4&lt;Hypothèses!$B$59,0,Hypothèses!$B$57*Hypothèses!$B$60*Hypothèses!$B$47*IF(AG$4=Hypothèses!$B$59,0.5,1)*IF(AG$4-Hypothèses!$B$59&lt;12,Hypothèses!$B$62,IF(AG$4-Hypothèses!$B$59&lt;Hypothèses!$B$65,Hypothèses!$B$63,Hypothèses!$B$64))))*Hypothèses!$B$94+AG92*Hypothèses!$B$63-Hypothèses!$B$103*Hypothèses!$B$47*AG100</f>
        <v>567450</v>
      </c>
      <c r="AH60" s="22">
        <f>(IF(AH$4&lt;Hypothèses!$B$59,0,Hypothèses!$B$57*Hypothèses!$B$60*Hypothèses!$B$47*IF(AH$4=Hypothèses!$B$59,0.5,1)*IF(AH$4-Hypothèses!$B$59&lt;12,Hypothèses!$B$62,IF(AH$4-Hypothèses!$B$59&lt;Hypothèses!$B$65,Hypothèses!$B$63,Hypothèses!$B$64))))*Hypothèses!$B$94+AH92*Hypothèses!$B$63-Hypothèses!$B$103*Hypothèses!$B$47*AH100</f>
        <v>567450</v>
      </c>
      <c r="AI60" s="22">
        <f>(IF(AI$4&lt;Hypothèses!$B$59,0,Hypothèses!$B$57*Hypothèses!$B$60*Hypothèses!$B$47*IF(AI$4=Hypothèses!$B$59,0.5,1)*IF(AI$4-Hypothèses!$B$59&lt;12,Hypothèses!$B$62,IF(AI$4-Hypothèses!$B$59&lt;Hypothèses!$B$65,Hypothèses!$B$63,Hypothèses!$B$64))))*Hypothèses!$B$94+AI92*Hypothèses!$B$63-Hypothèses!$B$103*Hypothèses!$B$47*AI100</f>
        <v>567450</v>
      </c>
      <c r="AJ60" s="22">
        <f>(IF(AJ$4&lt;Hypothèses!$B$59,0,Hypothèses!$B$57*Hypothèses!$B$60*Hypothèses!$B$47*IF(AJ$4=Hypothèses!$B$59,0.5,1)*IF(AJ$4-Hypothèses!$B$59&lt;12,Hypothèses!$B$62,IF(AJ$4-Hypothèses!$B$59&lt;Hypothèses!$B$65,Hypothèses!$B$63,Hypothèses!$B$64))))*Hypothèses!$B$94+AJ92*Hypothèses!$B$63-Hypothèses!$B$103*Hypothèses!$B$47*AJ100</f>
        <v>567450</v>
      </c>
      <c r="AK60" s="22">
        <f>(IF(AK$4&lt;Hypothèses!$B$59,0,Hypothèses!$B$57*Hypothèses!$B$60*Hypothèses!$B$47*IF(AK$4=Hypothèses!$B$59,0.5,1)*IF(AK$4-Hypothèses!$B$59&lt;12,Hypothèses!$B$62,IF(AK$4-Hypothèses!$B$59&lt;Hypothèses!$B$65,Hypothèses!$B$63,Hypothèses!$B$64))))*Hypothèses!$B$94+AK92*Hypothèses!$B$63-Hypothèses!$B$103*Hypothèses!$B$47*AK100</f>
        <v>567450</v>
      </c>
      <c r="AL60" s="22">
        <f>(IF(AL$4&lt;Hypothèses!$B$59,0,Hypothèses!$B$57*Hypothèses!$B$60*Hypothèses!$B$47*IF(AL$4=Hypothèses!$B$59,0.5,1)*IF(AL$4-Hypothèses!$B$59&lt;12,Hypothèses!$B$62,IF(AL$4-Hypothèses!$B$59&lt;Hypothèses!$B$65,Hypothèses!$B$63,Hypothèses!$B$64))))*Hypothèses!$B$94+AL92*Hypothèses!$B$63-Hypothèses!$B$103*Hypothèses!$B$47*AL100</f>
        <v>567450</v>
      </c>
      <c r="AM60" s="22">
        <f>(IF(AM$4&lt;Hypothèses!$B$59,0,Hypothèses!$B$57*Hypothèses!$B$60*Hypothèses!$B$47*IF(AM$4=Hypothèses!$B$59,0.5,1)*IF(AM$4-Hypothèses!$B$59&lt;12,Hypothèses!$B$62,IF(AM$4-Hypothèses!$B$59&lt;Hypothèses!$B$65,Hypothèses!$B$63,Hypothèses!$B$64))))*Hypothèses!$B$94+AM92*Hypothèses!$B$63-Hypothèses!$B$103*Hypothèses!$B$47*AM100</f>
        <v>567450</v>
      </c>
      <c r="AN60" s="22">
        <f>(IF(AN$4&lt;Hypothèses!$B$59,0,Hypothèses!$B$57*Hypothèses!$B$60*Hypothèses!$B$47*IF(AN$4=Hypothèses!$B$59,0.5,1)*IF(AN$4-Hypothèses!$B$59&lt;12,Hypothèses!$B$62,IF(AN$4-Hypothèses!$B$59&lt;Hypothèses!$B$65,Hypothèses!$B$63,Hypothèses!$B$64))))*Hypothèses!$B$94+AN92*Hypothèses!$B$63-Hypothèses!$B$103*Hypothèses!$B$47*AN100</f>
        <v>567450</v>
      </c>
      <c r="AO60" s="22">
        <f>(IF(AO$4&lt;Hypothèses!$B$59,0,Hypothèses!$B$57*Hypothèses!$B$60*Hypothèses!$B$47*IF(AO$4=Hypothèses!$B$59,0.5,1)*IF(AO$4-Hypothèses!$B$59&lt;12,Hypothèses!$B$62,IF(AO$4-Hypothèses!$B$59&lt;Hypothèses!$B$65,Hypothèses!$B$63,Hypothèses!$B$64))))*Hypothèses!$B$94+AO92*Hypothèses!$B$63-Hypothèses!$B$103*Hypothèses!$B$47*AO100</f>
        <v>567450</v>
      </c>
      <c r="AP60" s="22">
        <f>(IF(AP$4&lt;Hypothèses!$B$59,0,Hypothèses!$B$57*Hypothèses!$B$60*Hypothèses!$B$47*IF(AP$4=Hypothèses!$B$59,0.5,1)*IF(AP$4-Hypothèses!$B$59&lt;12,Hypothèses!$B$62,IF(AP$4-Hypothèses!$B$59&lt;Hypothèses!$B$65,Hypothèses!$B$63,Hypothèses!$B$64))))*Hypothèses!$B$94+AP92*Hypothèses!$B$63-Hypothèses!$B$103*Hypothèses!$B$47*AP100</f>
        <v>567450</v>
      </c>
      <c r="AQ60" s="22">
        <f>(IF(AQ$4&lt;Hypothèses!$B$59,0,Hypothèses!$B$57*Hypothèses!$B$60*Hypothèses!$B$47*IF(AQ$4=Hypothèses!$B$59,0.5,1)*IF(AQ$4-Hypothèses!$B$59&lt;12,Hypothèses!$B$62,IF(AQ$4-Hypothèses!$B$59&lt;Hypothèses!$B$65,Hypothèses!$B$63,Hypothèses!$B$64))))*Hypothèses!$B$94+AQ92*Hypothèses!$B$63-Hypothèses!$B$103*Hypothèses!$B$47*AQ100</f>
        <v>567450</v>
      </c>
    </row>
    <row r="61" spans="1:43" x14ac:dyDescent="0.3">
      <c r="A61" s="6" t="s">
        <v>456</v>
      </c>
      <c r="B61" s="22">
        <f>G61</f>
        <v>0</v>
      </c>
      <c r="C61" s="22">
        <f>SUM(H61:S61)</f>
        <v>3962400</v>
      </c>
      <c r="D61" s="22">
        <f>SUM(T61:AE61)</f>
        <v>5943600</v>
      </c>
      <c r="E61" s="22">
        <f>SUM(AF61:AQ61)</f>
        <v>5943600</v>
      </c>
      <c r="F61" s="22">
        <f>SUM(B61:E61)</f>
        <v>15849600</v>
      </c>
      <c r="G61" s="22">
        <v>0</v>
      </c>
      <c r="H61" s="22">
        <f>(IF(H$4&lt;Hypothèses!$B$59,0,Hypothèses!$B$58*Hypothèses!$B$61*Hypothèses!$B$47*IF(H$4=Hypothèses!$B$59,0.5,1)*IF(H$4-Hypothèses!$B$59&lt;12,Hypothèses!$B$62,IF(H$4-Hypothèses!$B$59&lt;Hypothèses!$B$66,Hypothèses!$B$63,Hypothèses!$B$64))))*Hypothèses!$B$94+H93*Hypothèses!$B$63-Hypothèses!$B$103*Hypothèses!$B$47*H101</f>
        <v>123825</v>
      </c>
      <c r="I61" s="22">
        <f>(IF(I$4&lt;Hypothèses!$B$59,0,Hypothèses!$B$58*Hypothèses!$B$61*Hypothèses!$B$47*IF(I$4=Hypothèses!$B$59,0.5,1)*IF(I$4-Hypothèses!$B$59&lt;12,Hypothèses!$B$62,IF(I$4-Hypothèses!$B$59&lt;Hypothèses!$B$66,Hypothèses!$B$63,Hypothèses!$B$64))))*Hypothèses!$B$94+I93*Hypothèses!$B$63-Hypothèses!$B$103*Hypothèses!$B$47*I101</f>
        <v>247650</v>
      </c>
      <c r="J61" s="22">
        <f>(IF(J$4&lt;Hypothèses!$B$59,0,Hypothèses!$B$58*Hypothèses!$B$61*Hypothèses!$B$47*IF(J$4=Hypothèses!$B$59,0.5,1)*IF(J$4-Hypothèses!$B$59&lt;12,Hypothèses!$B$62,IF(J$4-Hypothèses!$B$59&lt;Hypothèses!$B$66,Hypothèses!$B$63,Hypothèses!$B$64))))*Hypothèses!$B$94+J93*Hypothèses!$B$63-Hypothèses!$B$103*Hypothèses!$B$47*J101</f>
        <v>247650</v>
      </c>
      <c r="K61" s="22">
        <f>(IF(K$4&lt;Hypothèses!$B$59,0,Hypothèses!$B$58*Hypothèses!$B$61*Hypothèses!$B$47*IF(K$4=Hypothèses!$B$59,0.5,1)*IF(K$4-Hypothèses!$B$59&lt;12,Hypothèses!$B$62,IF(K$4-Hypothèses!$B$59&lt;Hypothèses!$B$66,Hypothèses!$B$63,Hypothèses!$B$64))))*Hypothèses!$B$94+K93*Hypothèses!$B$63-Hypothèses!$B$103*Hypothèses!$B$47*K101</f>
        <v>247650</v>
      </c>
      <c r="L61" s="22">
        <f>(IF(L$4&lt;Hypothèses!$B$59,0,Hypothèses!$B$58*Hypothèses!$B$61*Hypothèses!$B$47*IF(L$4=Hypothèses!$B$59,0.5,1)*IF(L$4-Hypothèses!$B$59&lt;12,Hypothèses!$B$62,IF(L$4-Hypothèses!$B$59&lt;Hypothèses!$B$66,Hypothèses!$B$63,Hypothèses!$B$64))))*Hypothèses!$B$94+L93*Hypothèses!$B$63-Hypothèses!$B$103*Hypothèses!$B$47*L101</f>
        <v>288925</v>
      </c>
      <c r="M61" s="22">
        <f>(IF(M$4&lt;Hypothèses!$B$59,0,Hypothèses!$B$58*Hypothèses!$B$61*Hypothèses!$B$47*IF(M$4=Hypothèses!$B$59,0.5,1)*IF(M$4-Hypothèses!$B$59&lt;12,Hypothèses!$B$62,IF(M$4-Hypothèses!$B$59&lt;Hypothèses!$B$66,Hypothèses!$B$63,Hypothèses!$B$64))))*Hypothèses!$B$94+M93*Hypothèses!$B$63-Hypothèses!$B$103*Hypothèses!$B$47*M101</f>
        <v>330200</v>
      </c>
      <c r="N61" s="22">
        <f>(IF(N$4&lt;Hypothèses!$B$59,0,Hypothèses!$B$58*Hypothèses!$B$61*Hypothèses!$B$47*IF(N$4=Hypothèses!$B$59,0.5,1)*IF(N$4-Hypothèses!$B$59&lt;12,Hypothèses!$B$62,IF(N$4-Hypothèses!$B$59&lt;Hypothèses!$B$66,Hypothèses!$B$63,Hypothèses!$B$64))))*Hypothèses!$B$94+N93*Hypothèses!$B$63-Hypothèses!$B$103*Hypothèses!$B$47*N101</f>
        <v>330200</v>
      </c>
      <c r="O61" s="22">
        <f>(IF(O$4&lt;Hypothèses!$B$59,0,Hypothèses!$B$58*Hypothèses!$B$61*Hypothèses!$B$47*IF(O$4=Hypothèses!$B$59,0.5,1)*IF(O$4-Hypothèses!$B$59&lt;12,Hypothèses!$B$62,IF(O$4-Hypothèses!$B$59&lt;Hypothèses!$B$66,Hypothèses!$B$63,Hypothèses!$B$64))))*Hypothèses!$B$94+O93*Hypothèses!$B$63-Hypothèses!$B$103*Hypothèses!$B$47*O101</f>
        <v>371475</v>
      </c>
      <c r="P61" s="22">
        <f>(IF(P$4&lt;Hypothèses!$B$59,0,Hypothèses!$B$58*Hypothèses!$B$61*Hypothèses!$B$47*IF(P$4=Hypothèses!$B$59,0.5,1)*IF(P$4-Hypothèses!$B$59&lt;12,Hypothèses!$B$62,IF(P$4-Hypothèses!$B$59&lt;Hypothèses!$B$66,Hypothèses!$B$63,Hypothèses!$B$64))))*Hypothèses!$B$94+P93*Hypothèses!$B$63-Hypothèses!$B$103*Hypothèses!$B$47*P101</f>
        <v>412750</v>
      </c>
      <c r="Q61" s="22">
        <f>(IF(Q$4&lt;Hypothèses!$B$59,0,Hypothèses!$B$58*Hypothèses!$B$61*Hypothèses!$B$47*IF(Q$4=Hypothèses!$B$59,0.5,1)*IF(Q$4-Hypothèses!$B$59&lt;12,Hypothèses!$B$62,IF(Q$4-Hypothèses!$B$59&lt;Hypothèses!$B$66,Hypothèses!$B$63,Hypothèses!$B$64))))*Hypothèses!$B$94+Q93*Hypothèses!$B$63-Hypothèses!$B$103*Hypothèses!$B$47*Q101</f>
        <v>412750</v>
      </c>
      <c r="R61" s="22">
        <f>(IF(R$4&lt;Hypothèses!$B$59,0,Hypothèses!$B$58*Hypothèses!$B$61*Hypothèses!$B$47*IF(R$4=Hypothèses!$B$59,0.5,1)*IF(R$4-Hypothèses!$B$59&lt;12,Hypothèses!$B$62,IF(R$4-Hypothèses!$B$59&lt;Hypothèses!$B$66,Hypothèses!$B$63,Hypothèses!$B$64))))*Hypothèses!$B$94+R93*Hypothèses!$B$63-Hypothèses!$B$103*Hypothèses!$B$47*R101</f>
        <v>454025</v>
      </c>
      <c r="S61" s="22">
        <f>(IF(S$4&lt;Hypothèses!$B$59,0,Hypothèses!$B$58*Hypothèses!$B$61*Hypothèses!$B$47*IF(S$4=Hypothèses!$B$59,0.5,1)*IF(S$4-Hypothèses!$B$59&lt;12,Hypothèses!$B$62,IF(S$4-Hypothèses!$B$59&lt;Hypothèses!$B$66,Hypothèses!$B$63,Hypothèses!$B$64))))*Hypothèses!$B$94+S93*Hypothèses!$B$63-Hypothèses!$B$103*Hypothèses!$B$47*S101</f>
        <v>495300</v>
      </c>
      <c r="T61" s="22">
        <f>(IF(T$4&lt;Hypothèses!$B$59,0,Hypothèses!$B$58*Hypothèses!$B$61*Hypothèses!$B$47*IF(T$4=Hypothèses!$B$59,0.5,1)*IF(T$4-Hypothèses!$B$59&lt;12,Hypothèses!$B$62,IF(T$4-Hypothèses!$B$59&lt;Hypothèses!$B$66,Hypothèses!$B$63,Hypothèses!$B$64))))*Hypothèses!$B$94+T93*Hypothèses!$B$63-Hypothèses!$B$103*Hypothèses!$B$47*T101</f>
        <v>495300</v>
      </c>
      <c r="U61" s="22">
        <f>(IF(U$4&lt;Hypothèses!$B$59,0,Hypothèses!$B$58*Hypothèses!$B$61*Hypothèses!$B$47*IF(U$4=Hypothèses!$B$59,0.5,1)*IF(U$4-Hypothèses!$B$59&lt;12,Hypothèses!$B$62,IF(U$4-Hypothèses!$B$59&lt;Hypothèses!$B$66,Hypothèses!$B$63,Hypothèses!$B$64))))*Hypothèses!$B$94+U93*Hypothèses!$B$63-Hypothèses!$B$103*Hypothèses!$B$47*U101</f>
        <v>495300</v>
      </c>
      <c r="V61" s="22">
        <f>(IF(V$4&lt;Hypothèses!$B$59,0,Hypothèses!$B$58*Hypothèses!$B$61*Hypothèses!$B$47*IF(V$4=Hypothèses!$B$59,0.5,1)*IF(V$4-Hypothèses!$B$59&lt;12,Hypothèses!$B$62,IF(V$4-Hypothèses!$B$59&lt;Hypothèses!$B$66,Hypothèses!$B$63,Hypothèses!$B$64))))*Hypothèses!$B$94+V93*Hypothèses!$B$63-Hypothèses!$B$103*Hypothèses!$B$47*V101</f>
        <v>495300</v>
      </c>
      <c r="W61" s="22">
        <f>(IF(W$4&lt;Hypothèses!$B$59,0,Hypothèses!$B$58*Hypothèses!$B$61*Hypothèses!$B$47*IF(W$4=Hypothèses!$B$59,0.5,1)*IF(W$4-Hypothèses!$B$59&lt;12,Hypothèses!$B$62,IF(W$4-Hypothèses!$B$59&lt;Hypothèses!$B$66,Hypothèses!$B$63,Hypothèses!$B$64))))*Hypothèses!$B$94+W93*Hypothèses!$B$63-Hypothèses!$B$103*Hypothèses!$B$47*W101</f>
        <v>495300</v>
      </c>
      <c r="X61" s="22">
        <f>(IF(X$4&lt;Hypothèses!$B$59,0,Hypothèses!$B$58*Hypothèses!$B$61*Hypothèses!$B$47*IF(X$4=Hypothèses!$B$59,0.5,1)*IF(X$4-Hypothèses!$B$59&lt;12,Hypothèses!$B$62,IF(X$4-Hypothèses!$B$59&lt;Hypothèses!$B$66,Hypothèses!$B$63,Hypothèses!$B$64))))*Hypothèses!$B$94+X93*Hypothèses!$B$63-Hypothèses!$B$103*Hypothèses!$B$47*X101</f>
        <v>495300</v>
      </c>
      <c r="Y61" s="22">
        <f>(IF(Y$4&lt;Hypothèses!$B$59,0,Hypothèses!$B$58*Hypothèses!$B$61*Hypothèses!$B$47*IF(Y$4=Hypothèses!$B$59,0.5,1)*IF(Y$4-Hypothèses!$B$59&lt;12,Hypothèses!$B$62,IF(Y$4-Hypothèses!$B$59&lt;Hypothèses!$B$66,Hypothèses!$B$63,Hypothèses!$B$64))))*Hypothèses!$B$94+Y93*Hypothèses!$B$63-Hypothèses!$B$103*Hypothèses!$B$47*Y101</f>
        <v>495300</v>
      </c>
      <c r="Z61" s="22">
        <f>(IF(Z$4&lt;Hypothèses!$B$59,0,Hypothèses!$B$58*Hypothèses!$B$61*Hypothèses!$B$47*IF(Z$4=Hypothèses!$B$59,0.5,1)*IF(Z$4-Hypothèses!$B$59&lt;12,Hypothèses!$B$62,IF(Z$4-Hypothèses!$B$59&lt;Hypothèses!$B$66,Hypothèses!$B$63,Hypothèses!$B$64))))*Hypothèses!$B$94+Z93*Hypothèses!$B$63-Hypothèses!$B$103*Hypothèses!$B$47*Z101</f>
        <v>495300</v>
      </c>
      <c r="AA61" s="22">
        <f>(IF(AA$4&lt;Hypothèses!$B$59,0,Hypothèses!$B$58*Hypothèses!$B$61*Hypothèses!$B$47*IF(AA$4=Hypothèses!$B$59,0.5,1)*IF(AA$4-Hypothèses!$B$59&lt;12,Hypothèses!$B$62,IF(AA$4-Hypothèses!$B$59&lt;Hypothèses!$B$66,Hypothèses!$B$63,Hypothèses!$B$64))))*Hypothèses!$B$94+AA93*Hypothèses!$B$63-Hypothèses!$B$103*Hypothèses!$B$47*AA101</f>
        <v>495300</v>
      </c>
      <c r="AB61" s="22">
        <f>(IF(AB$4&lt;Hypothèses!$B$59,0,Hypothèses!$B$58*Hypothèses!$B$61*Hypothèses!$B$47*IF(AB$4=Hypothèses!$B$59,0.5,1)*IF(AB$4-Hypothèses!$B$59&lt;12,Hypothèses!$B$62,IF(AB$4-Hypothèses!$B$59&lt;Hypothèses!$B$66,Hypothèses!$B$63,Hypothèses!$B$64))))*Hypothèses!$B$94+AB93*Hypothèses!$B$63-Hypothèses!$B$103*Hypothèses!$B$47*AB101</f>
        <v>495300</v>
      </c>
      <c r="AC61" s="22">
        <f>(IF(AC$4&lt;Hypothèses!$B$59,0,Hypothèses!$B$58*Hypothèses!$B$61*Hypothèses!$B$47*IF(AC$4=Hypothèses!$B$59,0.5,1)*IF(AC$4-Hypothèses!$B$59&lt;12,Hypothèses!$B$62,IF(AC$4-Hypothèses!$B$59&lt;Hypothèses!$B$66,Hypothèses!$B$63,Hypothèses!$B$64))))*Hypothèses!$B$94+AC93*Hypothèses!$B$63-Hypothèses!$B$103*Hypothèses!$B$47*AC101</f>
        <v>495300</v>
      </c>
      <c r="AD61" s="22">
        <f>(IF(AD$4&lt;Hypothèses!$B$59,0,Hypothèses!$B$58*Hypothèses!$B$61*Hypothèses!$B$47*IF(AD$4=Hypothèses!$B$59,0.5,1)*IF(AD$4-Hypothèses!$B$59&lt;12,Hypothèses!$B$62,IF(AD$4-Hypothèses!$B$59&lt;Hypothèses!$B$66,Hypothèses!$B$63,Hypothèses!$B$64))))*Hypothèses!$B$94+AD93*Hypothèses!$B$63-Hypothèses!$B$103*Hypothèses!$B$47*AD101</f>
        <v>495300</v>
      </c>
      <c r="AE61" s="22">
        <f>(IF(AE$4&lt;Hypothèses!$B$59,0,Hypothèses!$B$58*Hypothèses!$B$61*Hypothèses!$B$47*IF(AE$4=Hypothèses!$B$59,0.5,1)*IF(AE$4-Hypothèses!$B$59&lt;12,Hypothèses!$B$62,IF(AE$4-Hypothèses!$B$59&lt;Hypothèses!$B$66,Hypothèses!$B$63,Hypothèses!$B$64))))*Hypothèses!$B$94+AE93*Hypothèses!$B$63-Hypothèses!$B$103*Hypothèses!$B$47*AE101</f>
        <v>495300</v>
      </c>
      <c r="AF61" s="22">
        <f>(IF(AF$4&lt;Hypothèses!$B$59,0,Hypothèses!$B$58*Hypothèses!$B$61*Hypothèses!$B$47*IF(AF$4=Hypothèses!$B$59,0.5,1)*IF(AF$4-Hypothèses!$B$59&lt;12,Hypothèses!$B$62,IF(AF$4-Hypothèses!$B$59&lt;Hypothèses!$B$66,Hypothèses!$B$63,Hypothèses!$B$64))))*Hypothèses!$B$94+AF93*Hypothèses!$B$63-Hypothèses!$B$103*Hypothèses!$B$47*AF101</f>
        <v>495300</v>
      </c>
      <c r="AG61" s="22">
        <f>(IF(AG$4&lt;Hypothèses!$B$59,0,Hypothèses!$B$58*Hypothèses!$B$61*Hypothèses!$B$47*IF(AG$4=Hypothèses!$B$59,0.5,1)*IF(AG$4-Hypothèses!$B$59&lt;12,Hypothèses!$B$62,IF(AG$4-Hypothèses!$B$59&lt;Hypothèses!$B$66,Hypothèses!$B$63,Hypothèses!$B$64))))*Hypothèses!$B$94+AG93*Hypothèses!$B$63-Hypothèses!$B$103*Hypothèses!$B$47*AG101</f>
        <v>495300</v>
      </c>
      <c r="AH61" s="22">
        <f>(IF(AH$4&lt;Hypothèses!$B$59,0,Hypothèses!$B$58*Hypothèses!$B$61*Hypothèses!$B$47*IF(AH$4=Hypothèses!$B$59,0.5,1)*IF(AH$4-Hypothèses!$B$59&lt;12,Hypothèses!$B$62,IF(AH$4-Hypothèses!$B$59&lt;Hypothèses!$B$66,Hypothèses!$B$63,Hypothèses!$B$64))))*Hypothèses!$B$94+AH93*Hypothèses!$B$63-Hypothèses!$B$103*Hypothèses!$B$47*AH101</f>
        <v>495300</v>
      </c>
      <c r="AI61" s="22">
        <f>(IF(AI$4&lt;Hypothèses!$B$59,0,Hypothèses!$B$58*Hypothèses!$B$61*Hypothèses!$B$47*IF(AI$4=Hypothèses!$B$59,0.5,1)*IF(AI$4-Hypothèses!$B$59&lt;12,Hypothèses!$B$62,IF(AI$4-Hypothèses!$B$59&lt;Hypothèses!$B$66,Hypothèses!$B$63,Hypothèses!$B$64))))*Hypothèses!$B$94+AI93*Hypothèses!$B$63-Hypothèses!$B$103*Hypothèses!$B$47*AI101</f>
        <v>495300</v>
      </c>
      <c r="AJ61" s="22">
        <f>(IF(AJ$4&lt;Hypothèses!$B$59,0,Hypothèses!$B$58*Hypothèses!$B$61*Hypothèses!$B$47*IF(AJ$4=Hypothèses!$B$59,0.5,1)*IF(AJ$4-Hypothèses!$B$59&lt;12,Hypothèses!$B$62,IF(AJ$4-Hypothèses!$B$59&lt;Hypothèses!$B$66,Hypothèses!$B$63,Hypothèses!$B$64))))*Hypothèses!$B$94+AJ93*Hypothèses!$B$63-Hypothèses!$B$103*Hypothèses!$B$47*AJ101</f>
        <v>495300</v>
      </c>
      <c r="AK61" s="22">
        <f>(IF(AK$4&lt;Hypothèses!$B$59,0,Hypothèses!$B$58*Hypothèses!$B$61*Hypothèses!$B$47*IF(AK$4=Hypothèses!$B$59,0.5,1)*IF(AK$4-Hypothèses!$B$59&lt;12,Hypothèses!$B$62,IF(AK$4-Hypothèses!$B$59&lt;Hypothèses!$B$66,Hypothèses!$B$63,Hypothèses!$B$64))))*Hypothèses!$B$94+AK93*Hypothèses!$B$63-Hypothèses!$B$103*Hypothèses!$B$47*AK101</f>
        <v>495300</v>
      </c>
      <c r="AL61" s="22">
        <f>(IF(AL$4&lt;Hypothèses!$B$59,0,Hypothèses!$B$58*Hypothèses!$B$61*Hypothèses!$B$47*IF(AL$4=Hypothèses!$B$59,0.5,1)*IF(AL$4-Hypothèses!$B$59&lt;12,Hypothèses!$B$62,IF(AL$4-Hypothèses!$B$59&lt;Hypothèses!$B$66,Hypothèses!$B$63,Hypothèses!$B$64))))*Hypothèses!$B$94+AL93*Hypothèses!$B$63-Hypothèses!$B$103*Hypothèses!$B$47*AL101</f>
        <v>495300</v>
      </c>
      <c r="AM61" s="22">
        <f>(IF(AM$4&lt;Hypothèses!$B$59,0,Hypothèses!$B$58*Hypothèses!$B$61*Hypothèses!$B$47*IF(AM$4=Hypothèses!$B$59,0.5,1)*IF(AM$4-Hypothèses!$B$59&lt;12,Hypothèses!$B$62,IF(AM$4-Hypothèses!$B$59&lt;Hypothèses!$B$66,Hypothèses!$B$63,Hypothèses!$B$64))))*Hypothèses!$B$94+AM93*Hypothèses!$B$63-Hypothèses!$B$103*Hypothèses!$B$47*AM101</f>
        <v>495300</v>
      </c>
      <c r="AN61" s="22">
        <f>(IF(AN$4&lt;Hypothèses!$B$59,0,Hypothèses!$B$58*Hypothèses!$B$61*Hypothèses!$B$47*IF(AN$4=Hypothèses!$B$59,0.5,1)*IF(AN$4-Hypothèses!$B$59&lt;12,Hypothèses!$B$62,IF(AN$4-Hypothèses!$B$59&lt;Hypothèses!$B$66,Hypothèses!$B$63,Hypothèses!$B$64))))*Hypothèses!$B$94+AN93*Hypothèses!$B$63-Hypothèses!$B$103*Hypothèses!$B$47*AN101</f>
        <v>495300</v>
      </c>
      <c r="AO61" s="22">
        <f>(IF(AO$4&lt;Hypothèses!$B$59,0,Hypothèses!$B$58*Hypothèses!$B$61*Hypothèses!$B$47*IF(AO$4=Hypothèses!$B$59,0.5,1)*IF(AO$4-Hypothèses!$B$59&lt;12,Hypothèses!$B$62,IF(AO$4-Hypothèses!$B$59&lt;Hypothèses!$B$66,Hypothèses!$B$63,Hypothèses!$B$64))))*Hypothèses!$B$94+AO93*Hypothèses!$B$63-Hypothèses!$B$103*Hypothèses!$B$47*AO101</f>
        <v>495300</v>
      </c>
      <c r="AP61" s="22">
        <f>(IF(AP$4&lt;Hypothèses!$B$59,0,Hypothèses!$B$58*Hypothèses!$B$61*Hypothèses!$B$47*IF(AP$4=Hypothèses!$B$59,0.5,1)*IF(AP$4-Hypothèses!$B$59&lt;12,Hypothèses!$B$62,IF(AP$4-Hypothèses!$B$59&lt;Hypothèses!$B$66,Hypothèses!$B$63,Hypothèses!$B$64))))*Hypothèses!$B$94+AP93*Hypothèses!$B$63-Hypothèses!$B$103*Hypothèses!$B$47*AP101</f>
        <v>495300</v>
      </c>
      <c r="AQ61" s="22">
        <f>(IF(AQ$4&lt;Hypothèses!$B$59,0,Hypothèses!$B$58*Hypothèses!$B$61*Hypothèses!$B$47*IF(AQ$4=Hypothèses!$B$59,0.5,1)*IF(AQ$4-Hypothèses!$B$59&lt;12,Hypothèses!$B$62,IF(AQ$4-Hypothèses!$B$59&lt;Hypothèses!$B$66,Hypothèses!$B$63,Hypothèses!$B$64))))*Hypothèses!$B$94+AQ93*Hypothèses!$B$63-Hypothèses!$B$103*Hypothèses!$B$47*AQ101</f>
        <v>495300</v>
      </c>
    </row>
    <row r="62" spans="1:43" x14ac:dyDescent="0.3">
      <c r="A62" s="10" t="s">
        <v>324</v>
      </c>
      <c r="B62" s="24">
        <f>G62</f>
        <v>0</v>
      </c>
      <c r="C62" s="24">
        <f>SUM(H62:S62)</f>
        <v>14261975</v>
      </c>
      <c r="D62" s="24">
        <f>SUM(T62:AE62)</f>
        <v>15982200</v>
      </c>
      <c r="E62" s="24">
        <f>SUM(AF62:AQ62)</f>
        <v>15202200</v>
      </c>
      <c r="F62" s="24">
        <f>SUM(B62:E62)</f>
        <v>45446375</v>
      </c>
      <c r="G62" s="24">
        <f t="shared" ref="G62:AQ62" si="18">SUM(G58:G61)</f>
        <v>0</v>
      </c>
      <c r="H62" s="24">
        <f t="shared" si="18"/>
        <v>534625</v>
      </c>
      <c r="I62" s="24">
        <f t="shared" si="18"/>
        <v>1069250</v>
      </c>
      <c r="J62" s="24">
        <f t="shared" si="18"/>
        <v>1069250</v>
      </c>
      <c r="K62" s="24">
        <f t="shared" si="18"/>
        <v>1069250</v>
      </c>
      <c r="L62" s="24">
        <f t="shared" si="18"/>
        <v>1142050</v>
      </c>
      <c r="M62" s="24">
        <f t="shared" si="18"/>
        <v>1214850</v>
      </c>
      <c r="N62" s="24">
        <f t="shared" si="18"/>
        <v>1214850</v>
      </c>
      <c r="O62" s="24">
        <f t="shared" si="18"/>
        <v>1287650</v>
      </c>
      <c r="P62" s="24">
        <f t="shared" si="18"/>
        <v>1360450</v>
      </c>
      <c r="Q62" s="24">
        <f t="shared" si="18"/>
        <v>1360450</v>
      </c>
      <c r="R62" s="24">
        <f t="shared" si="18"/>
        <v>1433250</v>
      </c>
      <c r="S62" s="24">
        <f t="shared" si="18"/>
        <v>1506050</v>
      </c>
      <c r="T62" s="24">
        <f t="shared" si="18"/>
        <v>1331850</v>
      </c>
      <c r="U62" s="24">
        <f t="shared" si="18"/>
        <v>1331850</v>
      </c>
      <c r="V62" s="24">
        <f t="shared" si="18"/>
        <v>1331850</v>
      </c>
      <c r="W62" s="24">
        <f t="shared" si="18"/>
        <v>1331850</v>
      </c>
      <c r="X62" s="24">
        <f t="shared" si="18"/>
        <v>1331850</v>
      </c>
      <c r="Y62" s="24">
        <f t="shared" si="18"/>
        <v>1331850</v>
      </c>
      <c r="Z62" s="24">
        <f t="shared" si="18"/>
        <v>1331850</v>
      </c>
      <c r="AA62" s="24">
        <f t="shared" si="18"/>
        <v>1331850</v>
      </c>
      <c r="AB62" s="24">
        <f t="shared" si="18"/>
        <v>1331850</v>
      </c>
      <c r="AC62" s="24">
        <f t="shared" si="18"/>
        <v>1331850</v>
      </c>
      <c r="AD62" s="24">
        <f t="shared" si="18"/>
        <v>1331850</v>
      </c>
      <c r="AE62" s="24">
        <f t="shared" si="18"/>
        <v>1331850</v>
      </c>
      <c r="AF62" s="24">
        <f t="shared" si="18"/>
        <v>1266850</v>
      </c>
      <c r="AG62" s="24">
        <f t="shared" si="18"/>
        <v>1266850</v>
      </c>
      <c r="AH62" s="24">
        <f t="shared" si="18"/>
        <v>1266850</v>
      </c>
      <c r="AI62" s="24">
        <f t="shared" si="18"/>
        <v>1266850</v>
      </c>
      <c r="AJ62" s="24">
        <f t="shared" si="18"/>
        <v>1266850</v>
      </c>
      <c r="AK62" s="24">
        <f t="shared" si="18"/>
        <v>1266850</v>
      </c>
      <c r="AL62" s="24">
        <f t="shared" si="18"/>
        <v>1266850</v>
      </c>
      <c r="AM62" s="24">
        <f t="shared" si="18"/>
        <v>1266850</v>
      </c>
      <c r="AN62" s="24">
        <f t="shared" si="18"/>
        <v>1266850</v>
      </c>
      <c r="AO62" s="24">
        <f t="shared" si="18"/>
        <v>1266850</v>
      </c>
      <c r="AP62" s="24">
        <f t="shared" si="18"/>
        <v>1266850</v>
      </c>
      <c r="AQ62" s="24">
        <f t="shared" si="18"/>
        <v>1266850</v>
      </c>
    </row>
    <row r="64" spans="1:43" x14ac:dyDescent="0.3">
      <c r="A64" s="4" t="s">
        <v>457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row>
    <row r="65" spans="1:43" x14ac:dyDescent="0.3">
      <c r="A65" s="12" t="s">
        <v>458</v>
      </c>
      <c r="B65" s="25">
        <f>G65</f>
        <v>-4550000</v>
      </c>
      <c r="C65" s="25">
        <f>SUM(H65:S65)</f>
        <v>311280.66666666756</v>
      </c>
      <c r="D65" s="25">
        <f>SUM(T65:AE65)</f>
        <v>5566533.333333333</v>
      </c>
      <c r="E65" s="25">
        <f>SUM(AF65:AQ65)</f>
        <v>4417950</v>
      </c>
      <c r="F65" s="25">
        <f>SUM(B65:E65)</f>
        <v>5745764.0000000009</v>
      </c>
      <c r="G65" s="25">
        <f t="shared" ref="G65:AQ65" si="19">G62-G54</f>
        <v>-4550000</v>
      </c>
      <c r="H65" s="25">
        <f t="shared" si="19"/>
        <v>-4604746.5</v>
      </c>
      <c r="I65" s="25">
        <f t="shared" si="19"/>
        <v>288461.83333333337</v>
      </c>
      <c r="J65" s="25">
        <f t="shared" si="19"/>
        <v>163461.83333333337</v>
      </c>
      <c r="K65" s="25">
        <f t="shared" si="19"/>
        <v>288461.83333333337</v>
      </c>
      <c r="L65" s="25">
        <f t="shared" si="19"/>
        <v>284195.83333333337</v>
      </c>
      <c r="M65" s="25">
        <f t="shared" si="19"/>
        <v>291995.83333333337</v>
      </c>
      <c r="N65" s="25">
        <f t="shared" si="19"/>
        <v>516995.83333333337</v>
      </c>
      <c r="O65" s="25">
        <f t="shared" si="19"/>
        <v>528920.83333333337</v>
      </c>
      <c r="P65" s="25">
        <f t="shared" si="19"/>
        <v>536720.83333333337</v>
      </c>
      <c r="Q65" s="25">
        <f t="shared" si="19"/>
        <v>661720.83333333337</v>
      </c>
      <c r="R65" s="25">
        <f t="shared" si="19"/>
        <v>673645.83333333337</v>
      </c>
      <c r="S65" s="25">
        <f t="shared" si="19"/>
        <v>681445.83333333337</v>
      </c>
      <c r="T65" s="25">
        <f t="shared" si="19"/>
        <v>-253754.16666666674</v>
      </c>
      <c r="U65" s="25">
        <f t="shared" si="19"/>
        <v>597662.5</v>
      </c>
      <c r="V65" s="25">
        <f t="shared" si="19"/>
        <v>472662.5</v>
      </c>
      <c r="W65" s="25">
        <f t="shared" si="19"/>
        <v>343662.5</v>
      </c>
      <c r="X65" s="25">
        <f t="shared" si="19"/>
        <v>597662.5</v>
      </c>
      <c r="Y65" s="25">
        <f t="shared" si="19"/>
        <v>472662.5</v>
      </c>
      <c r="Z65" s="25">
        <f t="shared" si="19"/>
        <v>597662.5</v>
      </c>
      <c r="AA65" s="25">
        <f t="shared" si="19"/>
        <v>597662.5</v>
      </c>
      <c r="AB65" s="25">
        <f t="shared" si="19"/>
        <v>472662.5</v>
      </c>
      <c r="AC65" s="25">
        <f t="shared" si="19"/>
        <v>597662.5</v>
      </c>
      <c r="AD65" s="25">
        <f t="shared" si="19"/>
        <v>597662.5</v>
      </c>
      <c r="AE65" s="25">
        <f t="shared" si="19"/>
        <v>472662.5</v>
      </c>
      <c r="AF65" s="25">
        <f t="shared" si="19"/>
        <v>-399337.5</v>
      </c>
      <c r="AG65" s="25">
        <f t="shared" si="19"/>
        <v>532662.5</v>
      </c>
      <c r="AH65" s="25">
        <f t="shared" si="19"/>
        <v>407662.5</v>
      </c>
      <c r="AI65" s="25">
        <f t="shared" si="19"/>
        <v>278662.5</v>
      </c>
      <c r="AJ65" s="25">
        <f t="shared" si="19"/>
        <v>436662.5</v>
      </c>
      <c r="AK65" s="25">
        <f t="shared" si="19"/>
        <v>407662.5</v>
      </c>
      <c r="AL65" s="25">
        <f t="shared" si="19"/>
        <v>532662.5</v>
      </c>
      <c r="AM65" s="25">
        <f t="shared" si="19"/>
        <v>436662.5</v>
      </c>
      <c r="AN65" s="25">
        <f t="shared" si="19"/>
        <v>407662.5</v>
      </c>
      <c r="AO65" s="25">
        <f t="shared" si="19"/>
        <v>532662.5</v>
      </c>
      <c r="AP65" s="25">
        <f t="shared" si="19"/>
        <v>436662.5</v>
      </c>
      <c r="AQ65" s="25">
        <f t="shared" si="19"/>
        <v>407662.5</v>
      </c>
    </row>
    <row r="66" spans="1:43" x14ac:dyDescent="0.3">
      <c r="A66" s="10" t="s">
        <v>459</v>
      </c>
      <c r="B66" s="24">
        <f>G66</f>
        <v>10450000</v>
      </c>
      <c r="C66" s="24">
        <f>S66</f>
        <v>10761280.666666666</v>
      </c>
      <c r="D66" s="24">
        <f>AE66</f>
        <v>16327814</v>
      </c>
      <c r="E66" s="24">
        <f>AQ66</f>
        <v>20745764</v>
      </c>
      <c r="F66" s="24">
        <f>MIN(G66:AQ66)</f>
        <v>5845253.5</v>
      </c>
      <c r="G66" s="24">
        <f>Hypothèses!$B$54+G65</f>
        <v>10450000</v>
      </c>
      <c r="H66" s="24">
        <f t="shared" ref="H66:AQ66" si="20">G66+H65</f>
        <v>5845253.5</v>
      </c>
      <c r="I66" s="24">
        <f t="shared" si="20"/>
        <v>6133715.333333333</v>
      </c>
      <c r="J66" s="24">
        <f t="shared" si="20"/>
        <v>6297177.166666666</v>
      </c>
      <c r="K66" s="24">
        <f t="shared" si="20"/>
        <v>6585638.9999999991</v>
      </c>
      <c r="L66" s="24">
        <f t="shared" si="20"/>
        <v>6869834.8333333321</v>
      </c>
      <c r="M66" s="24">
        <f t="shared" si="20"/>
        <v>7161830.6666666651</v>
      </c>
      <c r="N66" s="24">
        <f t="shared" si="20"/>
        <v>7678826.4999999981</v>
      </c>
      <c r="O66" s="24">
        <f t="shared" si="20"/>
        <v>8207747.3333333312</v>
      </c>
      <c r="P66" s="24">
        <f t="shared" si="20"/>
        <v>8744468.1666666642</v>
      </c>
      <c r="Q66" s="24">
        <f t="shared" si="20"/>
        <v>9406188.9999999981</v>
      </c>
      <c r="R66" s="24">
        <f t="shared" si="20"/>
        <v>10079834.833333332</v>
      </c>
      <c r="S66" s="24">
        <f t="shared" si="20"/>
        <v>10761280.666666666</v>
      </c>
      <c r="T66" s="24">
        <f t="shared" si="20"/>
        <v>10507526.5</v>
      </c>
      <c r="U66" s="24">
        <f t="shared" si="20"/>
        <v>11105189</v>
      </c>
      <c r="V66" s="24">
        <f t="shared" si="20"/>
        <v>11577851.5</v>
      </c>
      <c r="W66" s="24">
        <f t="shared" si="20"/>
        <v>11921514</v>
      </c>
      <c r="X66" s="24">
        <f t="shared" si="20"/>
        <v>12519176.5</v>
      </c>
      <c r="Y66" s="24">
        <f t="shared" si="20"/>
        <v>12991839</v>
      </c>
      <c r="Z66" s="24">
        <f t="shared" si="20"/>
        <v>13589501.5</v>
      </c>
      <c r="AA66" s="24">
        <f t="shared" si="20"/>
        <v>14187164</v>
      </c>
      <c r="AB66" s="24">
        <f t="shared" si="20"/>
        <v>14659826.5</v>
      </c>
      <c r="AC66" s="24">
        <f t="shared" si="20"/>
        <v>15257489</v>
      </c>
      <c r="AD66" s="24">
        <f t="shared" si="20"/>
        <v>15855151.5</v>
      </c>
      <c r="AE66" s="24">
        <f t="shared" si="20"/>
        <v>16327814</v>
      </c>
      <c r="AF66" s="24">
        <f t="shared" si="20"/>
        <v>15928476.5</v>
      </c>
      <c r="AG66" s="24">
        <f t="shared" si="20"/>
        <v>16461139</v>
      </c>
      <c r="AH66" s="24">
        <f t="shared" si="20"/>
        <v>16868801.5</v>
      </c>
      <c r="AI66" s="24">
        <f t="shared" si="20"/>
        <v>17147464</v>
      </c>
      <c r="AJ66" s="24">
        <f t="shared" si="20"/>
        <v>17584126.5</v>
      </c>
      <c r="AK66" s="24">
        <f t="shared" si="20"/>
        <v>17991789</v>
      </c>
      <c r="AL66" s="24">
        <f t="shared" si="20"/>
        <v>18524451.5</v>
      </c>
      <c r="AM66" s="24">
        <f t="shared" si="20"/>
        <v>18961114</v>
      </c>
      <c r="AN66" s="24">
        <f t="shared" si="20"/>
        <v>19368776.5</v>
      </c>
      <c r="AO66" s="24">
        <f t="shared" si="20"/>
        <v>19901439</v>
      </c>
      <c r="AP66" s="24">
        <f t="shared" si="20"/>
        <v>20338101.5</v>
      </c>
      <c r="AQ66" s="24">
        <f t="shared" si="20"/>
        <v>20745764</v>
      </c>
    </row>
    <row r="67" spans="1:43" x14ac:dyDescent="0.3">
      <c r="A67" s="6" t="s">
        <v>460</v>
      </c>
      <c r="E67" s="2" t="s">
        <v>461</v>
      </c>
      <c r="F67" s="26">
        <f>SUM(G67:AQ67)</f>
        <v>0</v>
      </c>
      <c r="G67" s="33">
        <f t="shared" ref="G67:AQ67" si="21">IF(G66&lt;0,1,0)</f>
        <v>0</v>
      </c>
      <c r="H67" s="33">
        <f t="shared" si="21"/>
        <v>0</v>
      </c>
      <c r="I67" s="33">
        <f t="shared" si="21"/>
        <v>0</v>
      </c>
      <c r="J67" s="33">
        <f t="shared" si="21"/>
        <v>0</v>
      </c>
      <c r="K67" s="33">
        <f t="shared" si="21"/>
        <v>0</v>
      </c>
      <c r="L67" s="33">
        <f t="shared" si="21"/>
        <v>0</v>
      </c>
      <c r="M67" s="33">
        <f t="shared" si="21"/>
        <v>0</v>
      </c>
      <c r="N67" s="33">
        <f t="shared" si="21"/>
        <v>0</v>
      </c>
      <c r="O67" s="33">
        <f t="shared" si="21"/>
        <v>0</v>
      </c>
      <c r="P67" s="33">
        <f t="shared" si="21"/>
        <v>0</v>
      </c>
      <c r="Q67" s="33">
        <f t="shared" si="21"/>
        <v>0</v>
      </c>
      <c r="R67" s="33">
        <f t="shared" si="21"/>
        <v>0</v>
      </c>
      <c r="S67" s="33">
        <f t="shared" si="21"/>
        <v>0</v>
      </c>
      <c r="T67" s="33">
        <f t="shared" si="21"/>
        <v>0</v>
      </c>
      <c r="U67" s="33">
        <f t="shared" si="21"/>
        <v>0</v>
      </c>
      <c r="V67" s="33">
        <f t="shared" si="21"/>
        <v>0</v>
      </c>
      <c r="W67" s="33">
        <f t="shared" si="21"/>
        <v>0</v>
      </c>
      <c r="X67" s="33">
        <f t="shared" si="21"/>
        <v>0</v>
      </c>
      <c r="Y67" s="33">
        <f t="shared" si="21"/>
        <v>0</v>
      </c>
      <c r="Z67" s="33">
        <f t="shared" si="21"/>
        <v>0</v>
      </c>
      <c r="AA67" s="33">
        <f t="shared" si="21"/>
        <v>0</v>
      </c>
      <c r="AB67" s="33">
        <f t="shared" si="21"/>
        <v>0</v>
      </c>
      <c r="AC67" s="33">
        <f t="shared" si="21"/>
        <v>0</v>
      </c>
      <c r="AD67" s="33">
        <f t="shared" si="21"/>
        <v>0</v>
      </c>
      <c r="AE67" s="33">
        <f t="shared" si="21"/>
        <v>0</v>
      </c>
      <c r="AF67" s="33">
        <f t="shared" si="21"/>
        <v>0</v>
      </c>
      <c r="AG67" s="33">
        <f t="shared" si="21"/>
        <v>0</v>
      </c>
      <c r="AH67" s="33">
        <f t="shared" si="21"/>
        <v>0</v>
      </c>
      <c r="AI67" s="33">
        <f t="shared" si="21"/>
        <v>0</v>
      </c>
      <c r="AJ67" s="33">
        <f t="shared" si="21"/>
        <v>0</v>
      </c>
      <c r="AK67" s="33">
        <f t="shared" si="21"/>
        <v>0</v>
      </c>
      <c r="AL67" s="33">
        <f t="shared" si="21"/>
        <v>0</v>
      </c>
      <c r="AM67" s="33">
        <f t="shared" si="21"/>
        <v>0</v>
      </c>
      <c r="AN67" s="33">
        <f t="shared" si="21"/>
        <v>0</v>
      </c>
      <c r="AO67" s="33">
        <f t="shared" si="21"/>
        <v>0</v>
      </c>
      <c r="AP67" s="33">
        <f t="shared" si="21"/>
        <v>0</v>
      </c>
      <c r="AQ67" s="33">
        <f t="shared" si="21"/>
        <v>0</v>
      </c>
    </row>
    <row r="69" spans="1:43" x14ac:dyDescent="0.3">
      <c r="A69" s="4" t="s">
        <v>462</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spans="1:43" x14ac:dyDescent="0.3">
      <c r="A70" s="6" t="s">
        <v>463</v>
      </c>
      <c r="B70" s="22">
        <f t="shared" ref="B70:B77" si="22">G70</f>
        <v>0</v>
      </c>
      <c r="C70" s="22">
        <f t="shared" ref="C70:C77" si="23">SUM(H70:S70)</f>
        <v>775000.00000000012</v>
      </c>
      <c r="D70" s="22">
        <f t="shared" ref="D70:D77" si="24">SUM(T70:AE70)</f>
        <v>775000.00000000012</v>
      </c>
      <c r="E70" s="22">
        <f t="shared" ref="E70:E77" si="25">SUM(AF70:AQ70)</f>
        <v>0</v>
      </c>
      <c r="F70" s="22">
        <f t="shared" ref="F70:F77" si="26">SUM(B70:E70)</f>
        <v>1550000.0000000002</v>
      </c>
      <c r="G70" s="22">
        <f>SUMPRODUCT($G$7:$AQ$7*((G$4-$G$4:$AQ$4)&gt;=0)*((G$4-$G$4:$AQ$4)&lt;Hypothèses!$B$74))*Hypothèses!$B$9/Hypothèses!$B$74</f>
        <v>0</v>
      </c>
      <c r="H70" s="22">
        <f>SUMPRODUCT($G$7:$AQ$7*((H$4-$G$4:$AQ$4)&gt;=0)*((H$4-$G$4:$AQ$4)&lt;Hypothèses!$B$74))*Hypothèses!$B$9/Hypothèses!$B$74</f>
        <v>64583.333333333336</v>
      </c>
      <c r="I70" s="22">
        <f>SUMPRODUCT($G$7:$AQ$7*((I$4-$G$4:$AQ$4)&gt;=0)*((I$4-$G$4:$AQ$4)&lt;Hypothèses!$B$74))*Hypothèses!$B$9/Hypothèses!$B$74</f>
        <v>64583.333333333336</v>
      </c>
      <c r="J70" s="22">
        <f>SUMPRODUCT($G$7:$AQ$7*((J$4-$G$4:$AQ$4)&gt;=0)*((J$4-$G$4:$AQ$4)&lt;Hypothèses!$B$74))*Hypothèses!$B$9/Hypothèses!$B$74</f>
        <v>64583.333333333336</v>
      </c>
      <c r="K70" s="22">
        <f>SUMPRODUCT($G$7:$AQ$7*((K$4-$G$4:$AQ$4)&gt;=0)*((K$4-$G$4:$AQ$4)&lt;Hypothèses!$B$74))*Hypothèses!$B$9/Hypothèses!$B$74</f>
        <v>64583.333333333336</v>
      </c>
      <c r="L70" s="22">
        <f>SUMPRODUCT($G$7:$AQ$7*((L$4-$G$4:$AQ$4)&gt;=0)*((L$4-$G$4:$AQ$4)&lt;Hypothèses!$B$74))*Hypothèses!$B$9/Hypothèses!$B$74</f>
        <v>64583.333333333336</v>
      </c>
      <c r="M70" s="22">
        <f>SUMPRODUCT($G$7:$AQ$7*((M$4-$G$4:$AQ$4)&gt;=0)*((M$4-$G$4:$AQ$4)&lt;Hypothèses!$B$74))*Hypothèses!$B$9/Hypothèses!$B$74</f>
        <v>64583.333333333336</v>
      </c>
      <c r="N70" s="22">
        <f>SUMPRODUCT($G$7:$AQ$7*((N$4-$G$4:$AQ$4)&gt;=0)*((N$4-$G$4:$AQ$4)&lt;Hypothèses!$B$74))*Hypothèses!$B$9/Hypothèses!$B$74</f>
        <v>64583.333333333336</v>
      </c>
      <c r="O70" s="22">
        <f>SUMPRODUCT($G$7:$AQ$7*((O$4-$G$4:$AQ$4)&gt;=0)*((O$4-$G$4:$AQ$4)&lt;Hypothèses!$B$74))*Hypothèses!$B$9/Hypothèses!$B$74</f>
        <v>64583.333333333336</v>
      </c>
      <c r="P70" s="22">
        <f>SUMPRODUCT($G$7:$AQ$7*((P$4-$G$4:$AQ$4)&gt;=0)*((P$4-$G$4:$AQ$4)&lt;Hypothèses!$B$74))*Hypothèses!$B$9/Hypothèses!$B$74</f>
        <v>64583.333333333336</v>
      </c>
      <c r="Q70" s="22">
        <f>SUMPRODUCT($G$7:$AQ$7*((Q$4-$G$4:$AQ$4)&gt;=0)*((Q$4-$G$4:$AQ$4)&lt;Hypothèses!$B$74))*Hypothèses!$B$9/Hypothèses!$B$74</f>
        <v>64583.333333333336</v>
      </c>
      <c r="R70" s="22">
        <f>SUMPRODUCT($G$7:$AQ$7*((R$4-$G$4:$AQ$4)&gt;=0)*((R$4-$G$4:$AQ$4)&lt;Hypothèses!$B$74))*Hypothèses!$B$9/Hypothèses!$B$74</f>
        <v>64583.333333333336</v>
      </c>
      <c r="S70" s="22">
        <f>SUMPRODUCT($G$7:$AQ$7*((S$4-$G$4:$AQ$4)&gt;=0)*((S$4-$G$4:$AQ$4)&lt;Hypothèses!$B$74))*Hypothèses!$B$9/Hypothèses!$B$74</f>
        <v>64583.333333333336</v>
      </c>
      <c r="T70" s="22">
        <f>SUMPRODUCT($G$7:$AQ$7*((T$4-$G$4:$AQ$4)&gt;=0)*((T$4-$G$4:$AQ$4)&lt;Hypothèses!$B$74))*Hypothèses!$B$9/Hypothèses!$B$74</f>
        <v>64583.333333333336</v>
      </c>
      <c r="U70" s="22">
        <f>SUMPRODUCT($G$7:$AQ$7*((U$4-$G$4:$AQ$4)&gt;=0)*((U$4-$G$4:$AQ$4)&lt;Hypothèses!$B$74))*Hypothèses!$B$9/Hypothèses!$B$74</f>
        <v>64583.333333333336</v>
      </c>
      <c r="V70" s="22">
        <f>SUMPRODUCT($G$7:$AQ$7*((V$4-$G$4:$AQ$4)&gt;=0)*((V$4-$G$4:$AQ$4)&lt;Hypothèses!$B$74))*Hypothèses!$B$9/Hypothèses!$B$74</f>
        <v>64583.333333333336</v>
      </c>
      <c r="W70" s="22">
        <f>SUMPRODUCT($G$7:$AQ$7*((W$4-$G$4:$AQ$4)&gt;=0)*((W$4-$G$4:$AQ$4)&lt;Hypothèses!$B$74))*Hypothèses!$B$9/Hypothèses!$B$74</f>
        <v>64583.333333333336</v>
      </c>
      <c r="X70" s="22">
        <f>SUMPRODUCT($G$7:$AQ$7*((X$4-$G$4:$AQ$4)&gt;=0)*((X$4-$G$4:$AQ$4)&lt;Hypothèses!$B$74))*Hypothèses!$B$9/Hypothèses!$B$74</f>
        <v>64583.333333333336</v>
      </c>
      <c r="Y70" s="22">
        <f>SUMPRODUCT($G$7:$AQ$7*((Y$4-$G$4:$AQ$4)&gt;=0)*((Y$4-$G$4:$AQ$4)&lt;Hypothèses!$B$74))*Hypothèses!$B$9/Hypothèses!$B$74</f>
        <v>64583.333333333336</v>
      </c>
      <c r="Z70" s="22">
        <f>SUMPRODUCT($G$7:$AQ$7*((Z$4-$G$4:$AQ$4)&gt;=0)*((Z$4-$G$4:$AQ$4)&lt;Hypothèses!$B$74))*Hypothèses!$B$9/Hypothèses!$B$74</f>
        <v>64583.333333333336</v>
      </c>
      <c r="AA70" s="22">
        <f>SUMPRODUCT($G$7:$AQ$7*((AA$4-$G$4:$AQ$4)&gt;=0)*((AA$4-$G$4:$AQ$4)&lt;Hypothèses!$B$74))*Hypothèses!$B$9/Hypothèses!$B$74</f>
        <v>64583.333333333336</v>
      </c>
      <c r="AB70" s="22">
        <f>SUMPRODUCT($G$7:$AQ$7*((AB$4-$G$4:$AQ$4)&gt;=0)*((AB$4-$G$4:$AQ$4)&lt;Hypothèses!$B$74))*Hypothèses!$B$9/Hypothèses!$B$74</f>
        <v>64583.333333333336</v>
      </c>
      <c r="AC70" s="22">
        <f>SUMPRODUCT($G$7:$AQ$7*((AC$4-$G$4:$AQ$4)&gt;=0)*((AC$4-$G$4:$AQ$4)&lt;Hypothèses!$B$74))*Hypothèses!$B$9/Hypothèses!$B$74</f>
        <v>64583.333333333336</v>
      </c>
      <c r="AD70" s="22">
        <f>SUMPRODUCT($G$7:$AQ$7*((AD$4-$G$4:$AQ$4)&gt;=0)*((AD$4-$G$4:$AQ$4)&lt;Hypothèses!$B$74))*Hypothèses!$B$9/Hypothèses!$B$74</f>
        <v>64583.333333333336</v>
      </c>
      <c r="AE70" s="22">
        <f>SUMPRODUCT($G$7:$AQ$7*((AE$4-$G$4:$AQ$4)&gt;=0)*((AE$4-$G$4:$AQ$4)&lt;Hypothèses!$B$74))*Hypothèses!$B$9/Hypothèses!$B$74</f>
        <v>64583.333333333336</v>
      </c>
      <c r="AF70" s="22">
        <f>SUMPRODUCT($G$7:$AQ$7*((AF$4-$G$4:$AQ$4)&gt;=0)*((AF$4-$G$4:$AQ$4)&lt;Hypothèses!$B$74))*Hypothèses!$B$9/Hypothèses!$B$74</f>
        <v>0</v>
      </c>
      <c r="AG70" s="22">
        <f>SUMPRODUCT($G$7:$AQ$7*((AG$4-$G$4:$AQ$4)&gt;=0)*((AG$4-$G$4:$AQ$4)&lt;Hypothèses!$B$74))*Hypothèses!$B$9/Hypothèses!$B$74</f>
        <v>0</v>
      </c>
      <c r="AH70" s="22">
        <f>SUMPRODUCT($G$7:$AQ$7*((AH$4-$G$4:$AQ$4)&gt;=0)*((AH$4-$G$4:$AQ$4)&lt;Hypothèses!$B$74))*Hypothèses!$B$9/Hypothèses!$B$74</f>
        <v>0</v>
      </c>
      <c r="AI70" s="22">
        <f>SUMPRODUCT($G$7:$AQ$7*((AI$4-$G$4:$AQ$4)&gt;=0)*((AI$4-$G$4:$AQ$4)&lt;Hypothèses!$B$74))*Hypothèses!$B$9/Hypothèses!$B$74</f>
        <v>0</v>
      </c>
      <c r="AJ70" s="22">
        <f>SUMPRODUCT($G$7:$AQ$7*((AJ$4-$G$4:$AQ$4)&gt;=0)*((AJ$4-$G$4:$AQ$4)&lt;Hypothèses!$B$74))*Hypothèses!$B$9/Hypothèses!$B$74</f>
        <v>0</v>
      </c>
      <c r="AK70" s="22">
        <f>SUMPRODUCT($G$7:$AQ$7*((AK$4-$G$4:$AQ$4)&gt;=0)*((AK$4-$G$4:$AQ$4)&lt;Hypothèses!$B$74))*Hypothèses!$B$9/Hypothèses!$B$74</f>
        <v>0</v>
      </c>
      <c r="AL70" s="22">
        <f>SUMPRODUCT($G$7:$AQ$7*((AL$4-$G$4:$AQ$4)&gt;=0)*((AL$4-$G$4:$AQ$4)&lt;Hypothèses!$B$74))*Hypothèses!$B$9/Hypothèses!$B$74</f>
        <v>0</v>
      </c>
      <c r="AM70" s="22">
        <f>SUMPRODUCT($G$7:$AQ$7*((AM$4-$G$4:$AQ$4)&gt;=0)*((AM$4-$G$4:$AQ$4)&lt;Hypothèses!$B$74))*Hypothèses!$B$9/Hypothèses!$B$74</f>
        <v>0</v>
      </c>
      <c r="AN70" s="22">
        <f>SUMPRODUCT($G$7:$AQ$7*((AN$4-$G$4:$AQ$4)&gt;=0)*((AN$4-$G$4:$AQ$4)&lt;Hypothèses!$B$74))*Hypothèses!$B$9/Hypothèses!$B$74</f>
        <v>0</v>
      </c>
      <c r="AO70" s="22">
        <f>SUMPRODUCT($G$7:$AQ$7*((AO$4-$G$4:$AQ$4)&gt;=0)*((AO$4-$G$4:$AQ$4)&lt;Hypothèses!$B$74))*Hypothèses!$B$9/Hypothèses!$B$74</f>
        <v>0</v>
      </c>
      <c r="AP70" s="22">
        <f>SUMPRODUCT($G$7:$AQ$7*((AP$4-$G$4:$AQ$4)&gt;=0)*((AP$4-$G$4:$AQ$4)&lt;Hypothèses!$B$74))*Hypothèses!$B$9/Hypothèses!$B$74</f>
        <v>0</v>
      </c>
      <c r="AQ70" s="22">
        <f>SUMPRODUCT($G$7:$AQ$7*((AQ$4-$G$4:$AQ$4)&gt;=0)*((AQ$4-$G$4:$AQ$4)&lt;Hypothèses!$B$74))*Hypothèses!$B$9/Hypothèses!$B$74</f>
        <v>0</v>
      </c>
    </row>
    <row r="71" spans="1:43" x14ac:dyDescent="0.3">
      <c r="A71" s="6" t="s">
        <v>464</v>
      </c>
      <c r="B71" s="22">
        <f t="shared" si="22"/>
        <v>0</v>
      </c>
      <c r="C71" s="22">
        <f t="shared" si="23"/>
        <v>2375000</v>
      </c>
      <c r="D71" s="22">
        <f t="shared" si="24"/>
        <v>0</v>
      </c>
      <c r="E71" s="22">
        <f t="shared" si="25"/>
        <v>0</v>
      </c>
      <c r="F71" s="22">
        <f t="shared" si="26"/>
        <v>2375000</v>
      </c>
      <c r="G71" s="22">
        <f>SUMPRODUCT($G$8:$AQ$8*((G$4-$G$4:$AQ$4)&gt;=0)*((G$4-$G$4:$AQ$4)&lt;Hypothèses!$B$76))*Hypothèses!$B$12/Hypothèses!$B$76</f>
        <v>0</v>
      </c>
      <c r="H71" s="22">
        <f>SUMPRODUCT($G$8:$AQ$8*((H$4-$G$4:$AQ$4)&gt;=0)*((H$4-$G$4:$AQ$4)&lt;Hypothèses!$B$76))*Hypothèses!$B$12/Hypothèses!$B$76</f>
        <v>197916.66666666666</v>
      </c>
      <c r="I71" s="22">
        <f>SUMPRODUCT($G$8:$AQ$8*((I$4-$G$4:$AQ$4)&gt;=0)*((I$4-$G$4:$AQ$4)&lt;Hypothèses!$B$76))*Hypothèses!$B$12/Hypothèses!$B$76</f>
        <v>197916.66666666666</v>
      </c>
      <c r="J71" s="22">
        <f>SUMPRODUCT($G$8:$AQ$8*((J$4-$G$4:$AQ$4)&gt;=0)*((J$4-$G$4:$AQ$4)&lt;Hypothèses!$B$76))*Hypothèses!$B$12/Hypothèses!$B$76</f>
        <v>197916.66666666666</v>
      </c>
      <c r="K71" s="22">
        <f>SUMPRODUCT($G$8:$AQ$8*((K$4-$G$4:$AQ$4)&gt;=0)*((K$4-$G$4:$AQ$4)&lt;Hypothèses!$B$76))*Hypothèses!$B$12/Hypothèses!$B$76</f>
        <v>197916.66666666666</v>
      </c>
      <c r="L71" s="22">
        <f>SUMPRODUCT($G$8:$AQ$8*((L$4-$G$4:$AQ$4)&gt;=0)*((L$4-$G$4:$AQ$4)&lt;Hypothèses!$B$76))*Hypothèses!$B$12/Hypothèses!$B$76</f>
        <v>197916.66666666666</v>
      </c>
      <c r="M71" s="22">
        <f>SUMPRODUCT($G$8:$AQ$8*((M$4-$G$4:$AQ$4)&gt;=0)*((M$4-$G$4:$AQ$4)&lt;Hypothèses!$B$76))*Hypothèses!$B$12/Hypothèses!$B$76</f>
        <v>197916.66666666666</v>
      </c>
      <c r="N71" s="22">
        <f>SUMPRODUCT($G$8:$AQ$8*((N$4-$G$4:$AQ$4)&gt;=0)*((N$4-$G$4:$AQ$4)&lt;Hypothèses!$B$76))*Hypothèses!$B$12/Hypothèses!$B$76</f>
        <v>197916.66666666666</v>
      </c>
      <c r="O71" s="22">
        <f>SUMPRODUCT($G$8:$AQ$8*((O$4-$G$4:$AQ$4)&gt;=0)*((O$4-$G$4:$AQ$4)&lt;Hypothèses!$B$76))*Hypothèses!$B$12/Hypothèses!$B$76</f>
        <v>197916.66666666666</v>
      </c>
      <c r="P71" s="22">
        <f>SUMPRODUCT($G$8:$AQ$8*((P$4-$G$4:$AQ$4)&gt;=0)*((P$4-$G$4:$AQ$4)&lt;Hypothèses!$B$76))*Hypothèses!$B$12/Hypothèses!$B$76</f>
        <v>197916.66666666666</v>
      </c>
      <c r="Q71" s="22">
        <f>SUMPRODUCT($G$8:$AQ$8*((Q$4-$G$4:$AQ$4)&gt;=0)*((Q$4-$G$4:$AQ$4)&lt;Hypothèses!$B$76))*Hypothèses!$B$12/Hypothèses!$B$76</f>
        <v>197916.66666666666</v>
      </c>
      <c r="R71" s="22">
        <f>SUMPRODUCT($G$8:$AQ$8*((R$4-$G$4:$AQ$4)&gt;=0)*((R$4-$G$4:$AQ$4)&lt;Hypothèses!$B$76))*Hypothèses!$B$12/Hypothèses!$B$76</f>
        <v>197916.66666666666</v>
      </c>
      <c r="S71" s="22">
        <f>SUMPRODUCT($G$8:$AQ$8*((S$4-$G$4:$AQ$4)&gt;=0)*((S$4-$G$4:$AQ$4)&lt;Hypothèses!$B$76))*Hypothèses!$B$12/Hypothèses!$B$76</f>
        <v>197916.66666666666</v>
      </c>
      <c r="T71" s="22">
        <f>SUMPRODUCT($G$8:$AQ$8*((T$4-$G$4:$AQ$4)&gt;=0)*((T$4-$G$4:$AQ$4)&lt;Hypothèses!$B$76))*Hypothèses!$B$12/Hypothèses!$B$76</f>
        <v>0</v>
      </c>
      <c r="U71" s="22">
        <f>SUMPRODUCT($G$8:$AQ$8*((U$4-$G$4:$AQ$4)&gt;=0)*((U$4-$G$4:$AQ$4)&lt;Hypothèses!$B$76))*Hypothèses!$B$12/Hypothèses!$B$76</f>
        <v>0</v>
      </c>
      <c r="V71" s="22">
        <f>SUMPRODUCT($G$8:$AQ$8*((V$4-$G$4:$AQ$4)&gt;=0)*((V$4-$G$4:$AQ$4)&lt;Hypothèses!$B$76))*Hypothèses!$B$12/Hypothèses!$B$76</f>
        <v>0</v>
      </c>
      <c r="W71" s="22">
        <f>SUMPRODUCT($G$8:$AQ$8*((W$4-$G$4:$AQ$4)&gt;=0)*((W$4-$G$4:$AQ$4)&lt;Hypothèses!$B$76))*Hypothèses!$B$12/Hypothèses!$B$76</f>
        <v>0</v>
      </c>
      <c r="X71" s="22">
        <f>SUMPRODUCT($G$8:$AQ$8*((X$4-$G$4:$AQ$4)&gt;=0)*((X$4-$G$4:$AQ$4)&lt;Hypothèses!$B$76))*Hypothèses!$B$12/Hypothèses!$B$76</f>
        <v>0</v>
      </c>
      <c r="Y71" s="22">
        <f>SUMPRODUCT($G$8:$AQ$8*((Y$4-$G$4:$AQ$4)&gt;=0)*((Y$4-$G$4:$AQ$4)&lt;Hypothèses!$B$76))*Hypothèses!$B$12/Hypothèses!$B$76</f>
        <v>0</v>
      </c>
      <c r="Z71" s="22">
        <f>SUMPRODUCT($G$8:$AQ$8*((Z$4-$G$4:$AQ$4)&gt;=0)*((Z$4-$G$4:$AQ$4)&lt;Hypothèses!$B$76))*Hypothèses!$B$12/Hypothèses!$B$76</f>
        <v>0</v>
      </c>
      <c r="AA71" s="22">
        <f>SUMPRODUCT($G$8:$AQ$8*((AA$4-$G$4:$AQ$4)&gt;=0)*((AA$4-$G$4:$AQ$4)&lt;Hypothèses!$B$76))*Hypothèses!$B$12/Hypothèses!$B$76</f>
        <v>0</v>
      </c>
      <c r="AB71" s="22">
        <f>SUMPRODUCT($G$8:$AQ$8*((AB$4-$G$4:$AQ$4)&gt;=0)*((AB$4-$G$4:$AQ$4)&lt;Hypothèses!$B$76))*Hypothèses!$B$12/Hypothèses!$B$76</f>
        <v>0</v>
      </c>
      <c r="AC71" s="22">
        <f>SUMPRODUCT($G$8:$AQ$8*((AC$4-$G$4:$AQ$4)&gt;=0)*((AC$4-$G$4:$AQ$4)&lt;Hypothèses!$B$76))*Hypothèses!$B$12/Hypothèses!$B$76</f>
        <v>0</v>
      </c>
      <c r="AD71" s="22">
        <f>SUMPRODUCT($G$8:$AQ$8*((AD$4-$G$4:$AQ$4)&gt;=0)*((AD$4-$G$4:$AQ$4)&lt;Hypothèses!$B$76))*Hypothèses!$B$12/Hypothèses!$B$76</f>
        <v>0</v>
      </c>
      <c r="AE71" s="22">
        <f>SUMPRODUCT($G$8:$AQ$8*((AE$4-$G$4:$AQ$4)&gt;=0)*((AE$4-$G$4:$AQ$4)&lt;Hypothèses!$B$76))*Hypothèses!$B$12/Hypothèses!$B$76</f>
        <v>0</v>
      </c>
      <c r="AF71" s="22">
        <f>SUMPRODUCT($G$8:$AQ$8*((AF$4-$G$4:$AQ$4)&gt;=0)*((AF$4-$G$4:$AQ$4)&lt;Hypothèses!$B$76))*Hypothèses!$B$12/Hypothèses!$B$76</f>
        <v>0</v>
      </c>
      <c r="AG71" s="22">
        <f>SUMPRODUCT($G$8:$AQ$8*((AG$4-$G$4:$AQ$4)&gt;=0)*((AG$4-$G$4:$AQ$4)&lt;Hypothèses!$B$76))*Hypothèses!$B$12/Hypothèses!$B$76</f>
        <v>0</v>
      </c>
      <c r="AH71" s="22">
        <f>SUMPRODUCT($G$8:$AQ$8*((AH$4-$G$4:$AQ$4)&gt;=0)*((AH$4-$G$4:$AQ$4)&lt;Hypothèses!$B$76))*Hypothèses!$B$12/Hypothèses!$B$76</f>
        <v>0</v>
      </c>
      <c r="AI71" s="22">
        <f>SUMPRODUCT($G$8:$AQ$8*((AI$4-$G$4:$AQ$4)&gt;=0)*((AI$4-$G$4:$AQ$4)&lt;Hypothèses!$B$76))*Hypothèses!$B$12/Hypothèses!$B$76</f>
        <v>0</v>
      </c>
      <c r="AJ71" s="22">
        <f>SUMPRODUCT($G$8:$AQ$8*((AJ$4-$G$4:$AQ$4)&gt;=0)*((AJ$4-$G$4:$AQ$4)&lt;Hypothèses!$B$76))*Hypothèses!$B$12/Hypothèses!$B$76</f>
        <v>0</v>
      </c>
      <c r="AK71" s="22">
        <f>SUMPRODUCT($G$8:$AQ$8*((AK$4-$G$4:$AQ$4)&gt;=0)*((AK$4-$G$4:$AQ$4)&lt;Hypothèses!$B$76))*Hypothèses!$B$12/Hypothèses!$B$76</f>
        <v>0</v>
      </c>
      <c r="AL71" s="22">
        <f>SUMPRODUCT($G$8:$AQ$8*((AL$4-$G$4:$AQ$4)&gt;=0)*((AL$4-$G$4:$AQ$4)&lt;Hypothèses!$B$76))*Hypothèses!$B$12/Hypothèses!$B$76</f>
        <v>0</v>
      </c>
      <c r="AM71" s="22">
        <f>SUMPRODUCT($G$8:$AQ$8*((AM$4-$G$4:$AQ$4)&gt;=0)*((AM$4-$G$4:$AQ$4)&lt;Hypothèses!$B$76))*Hypothèses!$B$12/Hypothèses!$B$76</f>
        <v>0</v>
      </c>
      <c r="AN71" s="22">
        <f>SUMPRODUCT($G$8:$AQ$8*((AN$4-$G$4:$AQ$4)&gt;=0)*((AN$4-$G$4:$AQ$4)&lt;Hypothèses!$B$76))*Hypothèses!$B$12/Hypothèses!$B$76</f>
        <v>0</v>
      </c>
      <c r="AO71" s="22">
        <f>SUMPRODUCT($G$8:$AQ$8*((AO$4-$G$4:$AQ$4)&gt;=0)*((AO$4-$G$4:$AQ$4)&lt;Hypothèses!$B$76))*Hypothèses!$B$12/Hypothèses!$B$76</f>
        <v>0</v>
      </c>
      <c r="AP71" s="22">
        <f>SUMPRODUCT($G$8:$AQ$8*((AP$4-$G$4:$AQ$4)&gt;=0)*((AP$4-$G$4:$AQ$4)&lt;Hypothèses!$B$76))*Hypothèses!$B$12/Hypothèses!$B$76</f>
        <v>0</v>
      </c>
      <c r="AQ71" s="22">
        <f>SUMPRODUCT($G$8:$AQ$8*((AQ$4-$G$4:$AQ$4)&gt;=0)*((AQ$4-$G$4:$AQ$4)&lt;Hypothèses!$B$76))*Hypothèses!$B$12/Hypothèses!$B$76</f>
        <v>0</v>
      </c>
    </row>
    <row r="72" spans="1:43" x14ac:dyDescent="0.3">
      <c r="A72" s="6" t="s">
        <v>368</v>
      </c>
      <c r="B72" s="22">
        <f t="shared" si="22"/>
        <v>0</v>
      </c>
      <c r="C72" s="22">
        <f t="shared" si="23"/>
        <v>333333.33333333326</v>
      </c>
      <c r="D72" s="22">
        <f t="shared" si="24"/>
        <v>333333.33333333326</v>
      </c>
      <c r="E72" s="22">
        <f t="shared" si="25"/>
        <v>333333.33333333326</v>
      </c>
      <c r="F72" s="22">
        <f t="shared" si="26"/>
        <v>999999.99999999977</v>
      </c>
      <c r="G72" s="22">
        <f>IF(AND(G$4&gt;=1,G$4&lt;=Hypothèses!$B$87),Hypothèses!$B$26/Hypothèses!$B$87,0)</f>
        <v>0</v>
      </c>
      <c r="H72" s="22">
        <f>IF(AND(H$4&gt;=1,H$4&lt;=Hypothèses!$B$87),Hypothèses!$B$26/Hypothèses!$B$87,0)</f>
        <v>27777.777777777777</v>
      </c>
      <c r="I72" s="22">
        <f>IF(AND(I$4&gt;=1,I$4&lt;=Hypothèses!$B$87),Hypothèses!$B$26/Hypothèses!$B$87,0)</f>
        <v>27777.777777777777</v>
      </c>
      <c r="J72" s="22">
        <f>IF(AND(J$4&gt;=1,J$4&lt;=Hypothèses!$B$87),Hypothèses!$B$26/Hypothèses!$B$87,0)</f>
        <v>27777.777777777777</v>
      </c>
      <c r="K72" s="22">
        <f>IF(AND(K$4&gt;=1,K$4&lt;=Hypothèses!$B$87),Hypothèses!$B$26/Hypothèses!$B$87,0)</f>
        <v>27777.777777777777</v>
      </c>
      <c r="L72" s="22">
        <f>IF(AND(L$4&gt;=1,L$4&lt;=Hypothèses!$B$87),Hypothèses!$B$26/Hypothèses!$B$87,0)</f>
        <v>27777.777777777777</v>
      </c>
      <c r="M72" s="22">
        <f>IF(AND(M$4&gt;=1,M$4&lt;=Hypothèses!$B$87),Hypothèses!$B$26/Hypothèses!$B$87,0)</f>
        <v>27777.777777777777</v>
      </c>
      <c r="N72" s="22">
        <f>IF(AND(N$4&gt;=1,N$4&lt;=Hypothèses!$B$87),Hypothèses!$B$26/Hypothèses!$B$87,0)</f>
        <v>27777.777777777777</v>
      </c>
      <c r="O72" s="22">
        <f>IF(AND(O$4&gt;=1,O$4&lt;=Hypothèses!$B$87),Hypothèses!$B$26/Hypothèses!$B$87,0)</f>
        <v>27777.777777777777</v>
      </c>
      <c r="P72" s="22">
        <f>IF(AND(P$4&gt;=1,P$4&lt;=Hypothèses!$B$87),Hypothèses!$B$26/Hypothèses!$B$87,0)</f>
        <v>27777.777777777777</v>
      </c>
      <c r="Q72" s="22">
        <f>IF(AND(Q$4&gt;=1,Q$4&lt;=Hypothèses!$B$87),Hypothèses!$B$26/Hypothèses!$B$87,0)</f>
        <v>27777.777777777777</v>
      </c>
      <c r="R72" s="22">
        <f>IF(AND(R$4&gt;=1,R$4&lt;=Hypothèses!$B$87),Hypothèses!$B$26/Hypothèses!$B$87,0)</f>
        <v>27777.777777777777</v>
      </c>
      <c r="S72" s="22">
        <f>IF(AND(S$4&gt;=1,S$4&lt;=Hypothèses!$B$87),Hypothèses!$B$26/Hypothèses!$B$87,0)</f>
        <v>27777.777777777777</v>
      </c>
      <c r="T72" s="22">
        <f>IF(AND(T$4&gt;=1,T$4&lt;=Hypothèses!$B$87),Hypothèses!$B$26/Hypothèses!$B$87,0)</f>
        <v>27777.777777777777</v>
      </c>
      <c r="U72" s="22">
        <f>IF(AND(U$4&gt;=1,U$4&lt;=Hypothèses!$B$87),Hypothèses!$B$26/Hypothèses!$B$87,0)</f>
        <v>27777.777777777777</v>
      </c>
      <c r="V72" s="22">
        <f>IF(AND(V$4&gt;=1,V$4&lt;=Hypothèses!$B$87),Hypothèses!$B$26/Hypothèses!$B$87,0)</f>
        <v>27777.777777777777</v>
      </c>
      <c r="W72" s="22">
        <f>IF(AND(W$4&gt;=1,W$4&lt;=Hypothèses!$B$87),Hypothèses!$B$26/Hypothèses!$B$87,0)</f>
        <v>27777.777777777777</v>
      </c>
      <c r="X72" s="22">
        <f>IF(AND(X$4&gt;=1,X$4&lt;=Hypothèses!$B$87),Hypothèses!$B$26/Hypothèses!$B$87,0)</f>
        <v>27777.777777777777</v>
      </c>
      <c r="Y72" s="22">
        <f>IF(AND(Y$4&gt;=1,Y$4&lt;=Hypothèses!$B$87),Hypothèses!$B$26/Hypothèses!$B$87,0)</f>
        <v>27777.777777777777</v>
      </c>
      <c r="Z72" s="22">
        <f>IF(AND(Z$4&gt;=1,Z$4&lt;=Hypothèses!$B$87),Hypothèses!$B$26/Hypothèses!$B$87,0)</f>
        <v>27777.777777777777</v>
      </c>
      <c r="AA72" s="22">
        <f>IF(AND(AA$4&gt;=1,AA$4&lt;=Hypothèses!$B$87),Hypothèses!$B$26/Hypothèses!$B$87,0)</f>
        <v>27777.777777777777</v>
      </c>
      <c r="AB72" s="22">
        <f>IF(AND(AB$4&gt;=1,AB$4&lt;=Hypothèses!$B$87),Hypothèses!$B$26/Hypothèses!$B$87,0)</f>
        <v>27777.777777777777</v>
      </c>
      <c r="AC72" s="22">
        <f>IF(AND(AC$4&gt;=1,AC$4&lt;=Hypothèses!$B$87),Hypothèses!$B$26/Hypothèses!$B$87,0)</f>
        <v>27777.777777777777</v>
      </c>
      <c r="AD72" s="22">
        <f>IF(AND(AD$4&gt;=1,AD$4&lt;=Hypothèses!$B$87),Hypothèses!$B$26/Hypothèses!$B$87,0)</f>
        <v>27777.777777777777</v>
      </c>
      <c r="AE72" s="22">
        <f>IF(AND(AE$4&gt;=1,AE$4&lt;=Hypothèses!$B$87),Hypothèses!$B$26/Hypothèses!$B$87,0)</f>
        <v>27777.777777777777</v>
      </c>
      <c r="AF72" s="22">
        <f>IF(AND(AF$4&gt;=1,AF$4&lt;=Hypothèses!$B$87),Hypothèses!$B$26/Hypothèses!$B$87,0)</f>
        <v>27777.777777777777</v>
      </c>
      <c r="AG72" s="22">
        <f>IF(AND(AG$4&gt;=1,AG$4&lt;=Hypothèses!$B$87),Hypothèses!$B$26/Hypothèses!$B$87,0)</f>
        <v>27777.777777777777</v>
      </c>
      <c r="AH72" s="22">
        <f>IF(AND(AH$4&gt;=1,AH$4&lt;=Hypothèses!$B$87),Hypothèses!$B$26/Hypothèses!$B$87,0)</f>
        <v>27777.777777777777</v>
      </c>
      <c r="AI72" s="22">
        <f>IF(AND(AI$4&gt;=1,AI$4&lt;=Hypothèses!$B$87),Hypothèses!$B$26/Hypothèses!$B$87,0)</f>
        <v>27777.777777777777</v>
      </c>
      <c r="AJ72" s="22">
        <f>IF(AND(AJ$4&gt;=1,AJ$4&lt;=Hypothèses!$B$87),Hypothèses!$B$26/Hypothèses!$B$87,0)</f>
        <v>27777.777777777777</v>
      </c>
      <c r="AK72" s="22">
        <f>IF(AND(AK$4&gt;=1,AK$4&lt;=Hypothèses!$B$87),Hypothèses!$B$26/Hypothèses!$B$87,0)</f>
        <v>27777.777777777777</v>
      </c>
      <c r="AL72" s="22">
        <f>IF(AND(AL$4&gt;=1,AL$4&lt;=Hypothèses!$B$87),Hypothèses!$B$26/Hypothèses!$B$87,0)</f>
        <v>27777.777777777777</v>
      </c>
      <c r="AM72" s="22">
        <f>IF(AND(AM$4&gt;=1,AM$4&lt;=Hypothèses!$B$87),Hypothèses!$B$26/Hypothèses!$B$87,0)</f>
        <v>27777.777777777777</v>
      </c>
      <c r="AN72" s="22">
        <f>IF(AND(AN$4&gt;=1,AN$4&lt;=Hypothèses!$B$87),Hypothèses!$B$26/Hypothèses!$B$87,0)</f>
        <v>27777.777777777777</v>
      </c>
      <c r="AO72" s="22">
        <f>IF(AND(AO$4&gt;=1,AO$4&lt;=Hypothèses!$B$87),Hypothèses!$B$26/Hypothèses!$B$87,0)</f>
        <v>27777.777777777777</v>
      </c>
      <c r="AP72" s="22">
        <f>IF(AND(AP$4&gt;=1,AP$4&lt;=Hypothèses!$B$87),Hypothèses!$B$26/Hypothèses!$B$87,0)</f>
        <v>27777.777777777777</v>
      </c>
      <c r="AQ72" s="22">
        <f>IF(AND(AQ$4&gt;=1,AQ$4&lt;=Hypothèses!$B$87),Hypothèses!$B$26/Hypothèses!$B$87,0)</f>
        <v>27777.777777777777</v>
      </c>
    </row>
    <row r="73" spans="1:43" x14ac:dyDescent="0.3">
      <c r="A73" s="10" t="s">
        <v>465</v>
      </c>
      <c r="B73" s="24">
        <f t="shared" si="22"/>
        <v>0</v>
      </c>
      <c r="C73" s="24">
        <f t="shared" si="23"/>
        <v>3483333.333333334</v>
      </c>
      <c r="D73" s="24">
        <f t="shared" si="24"/>
        <v>1108333.3333333333</v>
      </c>
      <c r="E73" s="24">
        <f t="shared" si="25"/>
        <v>333333.33333333326</v>
      </c>
      <c r="F73" s="24">
        <f t="shared" si="26"/>
        <v>4925000</v>
      </c>
      <c r="G73" s="24">
        <f t="shared" ref="G73:AQ73" si="27">SUM(G70:G72)</f>
        <v>0</v>
      </c>
      <c r="H73" s="24">
        <f t="shared" si="27"/>
        <v>290277.77777777775</v>
      </c>
      <c r="I73" s="24">
        <f t="shared" si="27"/>
        <v>290277.77777777775</v>
      </c>
      <c r="J73" s="24">
        <f t="shared" si="27"/>
        <v>290277.77777777775</v>
      </c>
      <c r="K73" s="24">
        <f t="shared" si="27"/>
        <v>290277.77777777775</v>
      </c>
      <c r="L73" s="24">
        <f t="shared" si="27"/>
        <v>290277.77777777775</v>
      </c>
      <c r="M73" s="24">
        <f t="shared" si="27"/>
        <v>290277.77777777775</v>
      </c>
      <c r="N73" s="24">
        <f t="shared" si="27"/>
        <v>290277.77777777775</v>
      </c>
      <c r="O73" s="24">
        <f t="shared" si="27"/>
        <v>290277.77777777775</v>
      </c>
      <c r="P73" s="24">
        <f t="shared" si="27"/>
        <v>290277.77777777775</v>
      </c>
      <c r="Q73" s="24">
        <f t="shared" si="27"/>
        <v>290277.77777777775</v>
      </c>
      <c r="R73" s="24">
        <f t="shared" si="27"/>
        <v>290277.77777777775</v>
      </c>
      <c r="S73" s="24">
        <f t="shared" si="27"/>
        <v>290277.77777777775</v>
      </c>
      <c r="T73" s="24">
        <f t="shared" si="27"/>
        <v>92361.111111111109</v>
      </c>
      <c r="U73" s="24">
        <f t="shared" si="27"/>
        <v>92361.111111111109</v>
      </c>
      <c r="V73" s="24">
        <f t="shared" si="27"/>
        <v>92361.111111111109</v>
      </c>
      <c r="W73" s="24">
        <f t="shared" si="27"/>
        <v>92361.111111111109</v>
      </c>
      <c r="X73" s="24">
        <f t="shared" si="27"/>
        <v>92361.111111111109</v>
      </c>
      <c r="Y73" s="24">
        <f t="shared" si="27"/>
        <v>92361.111111111109</v>
      </c>
      <c r="Z73" s="24">
        <f t="shared" si="27"/>
        <v>92361.111111111109</v>
      </c>
      <c r="AA73" s="24">
        <f t="shared" si="27"/>
        <v>92361.111111111109</v>
      </c>
      <c r="AB73" s="24">
        <f t="shared" si="27"/>
        <v>92361.111111111109</v>
      </c>
      <c r="AC73" s="24">
        <f t="shared" si="27"/>
        <v>92361.111111111109</v>
      </c>
      <c r="AD73" s="24">
        <f t="shared" si="27"/>
        <v>92361.111111111109</v>
      </c>
      <c r="AE73" s="24">
        <f t="shared" si="27"/>
        <v>92361.111111111109</v>
      </c>
      <c r="AF73" s="24">
        <f t="shared" si="27"/>
        <v>27777.777777777777</v>
      </c>
      <c r="AG73" s="24">
        <f t="shared" si="27"/>
        <v>27777.777777777777</v>
      </c>
      <c r="AH73" s="24">
        <f t="shared" si="27"/>
        <v>27777.777777777777</v>
      </c>
      <c r="AI73" s="24">
        <f t="shared" si="27"/>
        <v>27777.777777777777</v>
      </c>
      <c r="AJ73" s="24">
        <f t="shared" si="27"/>
        <v>27777.777777777777</v>
      </c>
      <c r="AK73" s="24">
        <f t="shared" si="27"/>
        <v>27777.777777777777</v>
      </c>
      <c r="AL73" s="24">
        <f t="shared" si="27"/>
        <v>27777.777777777777</v>
      </c>
      <c r="AM73" s="24">
        <f t="shared" si="27"/>
        <v>27777.777777777777</v>
      </c>
      <c r="AN73" s="24">
        <f t="shared" si="27"/>
        <v>27777.777777777777</v>
      </c>
      <c r="AO73" s="24">
        <f t="shared" si="27"/>
        <v>27777.777777777777</v>
      </c>
      <c r="AP73" s="24">
        <f t="shared" si="27"/>
        <v>27777.777777777777</v>
      </c>
      <c r="AQ73" s="24">
        <f t="shared" si="27"/>
        <v>27777.777777777777</v>
      </c>
    </row>
    <row r="74" spans="1:43" x14ac:dyDescent="0.3">
      <c r="A74" s="6" t="s">
        <v>466</v>
      </c>
      <c r="B74" s="22">
        <f t="shared" si="22"/>
        <v>3050000</v>
      </c>
      <c r="C74" s="22">
        <f t="shared" si="23"/>
        <v>0</v>
      </c>
      <c r="D74" s="22">
        <f t="shared" si="24"/>
        <v>0</v>
      </c>
      <c r="E74" s="22">
        <f t="shared" si="25"/>
        <v>0</v>
      </c>
      <c r="F74" s="22">
        <f t="shared" si="26"/>
        <v>3050000</v>
      </c>
      <c r="G74" s="22">
        <f>Hypothèses!$B$22+Hypothèses!$B$23+Hypothèses!$B$24+Hypothèses!$B$27+Hypothèses!$B$28</f>
        <v>3050000</v>
      </c>
      <c r="H74" s="22">
        <f>0</f>
        <v>0</v>
      </c>
      <c r="I74" s="22">
        <f>0</f>
        <v>0</v>
      </c>
      <c r="J74" s="22">
        <f>0</f>
        <v>0</v>
      </c>
      <c r="K74" s="22">
        <f>0</f>
        <v>0</v>
      </c>
      <c r="L74" s="22">
        <f>0</f>
        <v>0</v>
      </c>
      <c r="M74" s="22">
        <f>0</f>
        <v>0</v>
      </c>
      <c r="N74" s="22">
        <f>0</f>
        <v>0</v>
      </c>
      <c r="O74" s="22">
        <f>0</f>
        <v>0</v>
      </c>
      <c r="P74" s="22">
        <f>0</f>
        <v>0</v>
      </c>
      <c r="Q74" s="22">
        <f>0</f>
        <v>0</v>
      </c>
      <c r="R74" s="22">
        <f>0</f>
        <v>0</v>
      </c>
      <c r="S74" s="22">
        <f>0</f>
        <v>0</v>
      </c>
      <c r="T74" s="22">
        <f>0</f>
        <v>0</v>
      </c>
      <c r="U74" s="22">
        <f>0</f>
        <v>0</v>
      </c>
      <c r="V74" s="22">
        <f>0</f>
        <v>0</v>
      </c>
      <c r="W74" s="22">
        <f>0</f>
        <v>0</v>
      </c>
      <c r="X74" s="22">
        <f>0</f>
        <v>0</v>
      </c>
      <c r="Y74" s="22">
        <f>0</f>
        <v>0</v>
      </c>
      <c r="Z74" s="22">
        <f>0</f>
        <v>0</v>
      </c>
      <c r="AA74" s="22">
        <f>0</f>
        <v>0</v>
      </c>
      <c r="AB74" s="22">
        <f>0</f>
        <v>0</v>
      </c>
      <c r="AC74" s="22">
        <f>0</f>
        <v>0</v>
      </c>
      <c r="AD74" s="22">
        <f>0</f>
        <v>0</v>
      </c>
      <c r="AE74" s="22">
        <f>0</f>
        <v>0</v>
      </c>
      <c r="AF74" s="22">
        <f>0</f>
        <v>0</v>
      </c>
      <c r="AG74" s="22">
        <f>0</f>
        <v>0</v>
      </c>
      <c r="AH74" s="22">
        <f>0</f>
        <v>0</v>
      </c>
      <c r="AI74" s="22">
        <f>0</f>
        <v>0</v>
      </c>
      <c r="AJ74" s="22">
        <f>0</f>
        <v>0</v>
      </c>
      <c r="AK74" s="22">
        <f>0</f>
        <v>0</v>
      </c>
      <c r="AL74" s="22">
        <f>0</f>
        <v>0</v>
      </c>
      <c r="AM74" s="22">
        <f>0</f>
        <v>0</v>
      </c>
      <c r="AN74" s="22">
        <f>0</f>
        <v>0</v>
      </c>
      <c r="AO74" s="22">
        <f>0</f>
        <v>0</v>
      </c>
      <c r="AP74" s="22">
        <f>0</f>
        <v>0</v>
      </c>
      <c r="AQ74" s="22">
        <f>0</f>
        <v>0</v>
      </c>
    </row>
    <row r="75" spans="1:43" x14ac:dyDescent="0.3">
      <c r="A75" s="6" t="s">
        <v>467</v>
      </c>
      <c r="B75" s="22">
        <f t="shared" si="22"/>
        <v>0</v>
      </c>
      <c r="C75" s="22">
        <f t="shared" si="23"/>
        <v>95000</v>
      </c>
      <c r="D75" s="22">
        <f t="shared" si="24"/>
        <v>190000</v>
      </c>
      <c r="E75" s="22">
        <f t="shared" si="25"/>
        <v>190000</v>
      </c>
      <c r="F75" s="22">
        <f t="shared" si="26"/>
        <v>475000</v>
      </c>
      <c r="G75" s="22">
        <f>IF(AND(G$4&gt;=Hypothèses!$B$91,MOD(G$4-Hypothèses!$B$91,6)=0),Hypothèses!$B$90,0)</f>
        <v>0</v>
      </c>
      <c r="H75" s="22">
        <f>IF(AND(H$4&gt;=Hypothèses!$B$91,MOD(H$4-Hypothèses!$B$91,6)=0),Hypothèses!$B$90,0)</f>
        <v>0</v>
      </c>
      <c r="I75" s="22">
        <f>IF(AND(I$4&gt;=Hypothèses!$B$91,MOD(I$4-Hypothèses!$B$91,6)=0),Hypothèses!$B$90,0)</f>
        <v>0</v>
      </c>
      <c r="J75" s="22">
        <f>IF(AND(J$4&gt;=Hypothèses!$B$91,MOD(J$4-Hypothèses!$B$91,6)=0),Hypothèses!$B$90,0)</f>
        <v>0</v>
      </c>
      <c r="K75" s="22">
        <f>IF(AND(K$4&gt;=Hypothèses!$B$91,MOD(K$4-Hypothèses!$B$91,6)=0),Hypothèses!$B$90,0)</f>
        <v>0</v>
      </c>
      <c r="L75" s="22">
        <f>IF(AND(L$4&gt;=Hypothèses!$B$91,MOD(L$4-Hypothèses!$B$91,6)=0),Hypothèses!$B$90,0)</f>
        <v>0</v>
      </c>
      <c r="M75" s="22">
        <f>IF(AND(M$4&gt;=Hypothèses!$B$91,MOD(M$4-Hypothèses!$B$91,6)=0),Hypothèses!$B$90,0)</f>
        <v>0</v>
      </c>
      <c r="N75" s="22">
        <f>IF(AND(N$4&gt;=Hypothèses!$B$91,MOD(N$4-Hypothèses!$B$91,6)=0),Hypothèses!$B$90,0)</f>
        <v>95000</v>
      </c>
      <c r="O75" s="22">
        <f>IF(AND(O$4&gt;=Hypothèses!$B$91,MOD(O$4-Hypothèses!$B$91,6)=0),Hypothèses!$B$90,0)</f>
        <v>0</v>
      </c>
      <c r="P75" s="22">
        <f>IF(AND(P$4&gt;=Hypothèses!$B$91,MOD(P$4-Hypothèses!$B$91,6)=0),Hypothèses!$B$90,0)</f>
        <v>0</v>
      </c>
      <c r="Q75" s="22">
        <f>IF(AND(Q$4&gt;=Hypothèses!$B$91,MOD(Q$4-Hypothèses!$B$91,6)=0),Hypothèses!$B$90,0)</f>
        <v>0</v>
      </c>
      <c r="R75" s="22">
        <f>IF(AND(R$4&gt;=Hypothèses!$B$91,MOD(R$4-Hypothèses!$B$91,6)=0),Hypothèses!$B$90,0)</f>
        <v>0</v>
      </c>
      <c r="S75" s="22">
        <f>IF(AND(S$4&gt;=Hypothèses!$B$91,MOD(S$4-Hypothèses!$B$91,6)=0),Hypothèses!$B$90,0)</f>
        <v>0</v>
      </c>
      <c r="T75" s="22">
        <f>IF(AND(T$4&gt;=Hypothèses!$B$91,MOD(T$4-Hypothèses!$B$91,6)=0),Hypothèses!$B$90,0)</f>
        <v>95000</v>
      </c>
      <c r="U75" s="22">
        <f>IF(AND(U$4&gt;=Hypothèses!$B$91,MOD(U$4-Hypothèses!$B$91,6)=0),Hypothèses!$B$90,0)</f>
        <v>0</v>
      </c>
      <c r="V75" s="22">
        <f>IF(AND(V$4&gt;=Hypothèses!$B$91,MOD(V$4-Hypothèses!$B$91,6)=0),Hypothèses!$B$90,0)</f>
        <v>0</v>
      </c>
      <c r="W75" s="22">
        <f>IF(AND(W$4&gt;=Hypothèses!$B$91,MOD(W$4-Hypothèses!$B$91,6)=0),Hypothèses!$B$90,0)</f>
        <v>0</v>
      </c>
      <c r="X75" s="22">
        <f>IF(AND(X$4&gt;=Hypothèses!$B$91,MOD(X$4-Hypothèses!$B$91,6)=0),Hypothèses!$B$90,0)</f>
        <v>0</v>
      </c>
      <c r="Y75" s="22">
        <f>IF(AND(Y$4&gt;=Hypothèses!$B$91,MOD(Y$4-Hypothèses!$B$91,6)=0),Hypothèses!$B$90,0)</f>
        <v>0</v>
      </c>
      <c r="Z75" s="22">
        <f>IF(AND(Z$4&gt;=Hypothèses!$B$91,MOD(Z$4-Hypothèses!$B$91,6)=0),Hypothèses!$B$90,0)</f>
        <v>95000</v>
      </c>
      <c r="AA75" s="22">
        <f>IF(AND(AA$4&gt;=Hypothèses!$B$91,MOD(AA$4-Hypothèses!$B$91,6)=0),Hypothèses!$B$90,0)</f>
        <v>0</v>
      </c>
      <c r="AB75" s="22">
        <f>IF(AND(AB$4&gt;=Hypothèses!$B$91,MOD(AB$4-Hypothèses!$B$91,6)=0),Hypothèses!$B$90,0)</f>
        <v>0</v>
      </c>
      <c r="AC75" s="22">
        <f>IF(AND(AC$4&gt;=Hypothèses!$B$91,MOD(AC$4-Hypothèses!$B$91,6)=0),Hypothèses!$B$90,0)</f>
        <v>0</v>
      </c>
      <c r="AD75" s="22">
        <f>IF(AND(AD$4&gt;=Hypothèses!$B$91,MOD(AD$4-Hypothèses!$B$91,6)=0),Hypothèses!$B$90,0)</f>
        <v>0</v>
      </c>
      <c r="AE75" s="22">
        <f>IF(AND(AE$4&gt;=Hypothèses!$B$91,MOD(AE$4-Hypothèses!$B$91,6)=0),Hypothèses!$B$90,0)</f>
        <v>0</v>
      </c>
      <c r="AF75" s="22">
        <f>IF(AND(AF$4&gt;=Hypothèses!$B$91,MOD(AF$4-Hypothèses!$B$91,6)=0),Hypothèses!$B$90,0)</f>
        <v>95000</v>
      </c>
      <c r="AG75" s="22">
        <f>IF(AND(AG$4&gt;=Hypothèses!$B$91,MOD(AG$4-Hypothèses!$B$91,6)=0),Hypothèses!$B$90,0)</f>
        <v>0</v>
      </c>
      <c r="AH75" s="22">
        <f>IF(AND(AH$4&gt;=Hypothèses!$B$91,MOD(AH$4-Hypothèses!$B$91,6)=0),Hypothèses!$B$90,0)</f>
        <v>0</v>
      </c>
      <c r="AI75" s="22">
        <f>IF(AND(AI$4&gt;=Hypothèses!$B$91,MOD(AI$4-Hypothèses!$B$91,6)=0),Hypothèses!$B$90,0)</f>
        <v>0</v>
      </c>
      <c r="AJ75" s="22">
        <f>IF(AND(AJ$4&gt;=Hypothèses!$B$91,MOD(AJ$4-Hypothèses!$B$91,6)=0),Hypothèses!$B$90,0)</f>
        <v>0</v>
      </c>
      <c r="AK75" s="22">
        <f>IF(AND(AK$4&gt;=Hypothèses!$B$91,MOD(AK$4-Hypothèses!$B$91,6)=0),Hypothèses!$B$90,0)</f>
        <v>0</v>
      </c>
      <c r="AL75" s="22">
        <f>IF(AND(AL$4&gt;=Hypothèses!$B$91,MOD(AL$4-Hypothèses!$B$91,6)=0),Hypothèses!$B$90,0)</f>
        <v>95000</v>
      </c>
      <c r="AM75" s="22">
        <f>IF(AND(AM$4&gt;=Hypothèses!$B$91,MOD(AM$4-Hypothèses!$B$91,6)=0),Hypothèses!$B$90,0)</f>
        <v>0</v>
      </c>
      <c r="AN75" s="22">
        <f>IF(AND(AN$4&gt;=Hypothèses!$B$91,MOD(AN$4-Hypothèses!$B$91,6)=0),Hypothèses!$B$90,0)</f>
        <v>0</v>
      </c>
      <c r="AO75" s="22">
        <f>IF(AND(AO$4&gt;=Hypothèses!$B$91,MOD(AO$4-Hypothèses!$B$91,6)=0),Hypothèses!$B$90,0)</f>
        <v>0</v>
      </c>
      <c r="AP75" s="22">
        <f>IF(AND(AP$4&gt;=Hypothèses!$B$91,MOD(AP$4-Hypothèses!$B$91,6)=0),Hypothèses!$B$90,0)</f>
        <v>0</v>
      </c>
      <c r="AQ75" s="22">
        <f>IF(AND(AQ$4&gt;=Hypothèses!$B$91,MOD(AQ$4-Hypothèses!$B$91,6)=0),Hypothèses!$B$90,0)</f>
        <v>0</v>
      </c>
    </row>
    <row r="76" spans="1:43" x14ac:dyDescent="0.3">
      <c r="A76" s="6" t="s">
        <v>371</v>
      </c>
      <c r="B76" s="22">
        <f t="shared" si="22"/>
        <v>0</v>
      </c>
      <c r="C76" s="22">
        <f t="shared" si="23"/>
        <v>600000</v>
      </c>
      <c r="D76" s="22">
        <f t="shared" si="24"/>
        <v>600000</v>
      </c>
      <c r="E76" s="22">
        <f t="shared" si="25"/>
        <v>600000</v>
      </c>
      <c r="F76" s="22">
        <f t="shared" si="26"/>
        <v>1800000</v>
      </c>
      <c r="G76" s="22">
        <f>IF(G$4&gt;=1,Hypothèses!$B$92,0)</f>
        <v>0</v>
      </c>
      <c r="H76" s="22">
        <f>IF(H$4&gt;=1,Hypothèses!$B$92,0)</f>
        <v>50000</v>
      </c>
      <c r="I76" s="22">
        <f>IF(I$4&gt;=1,Hypothèses!$B$92,0)</f>
        <v>50000</v>
      </c>
      <c r="J76" s="22">
        <f>IF(J$4&gt;=1,Hypothèses!$B$92,0)</f>
        <v>50000</v>
      </c>
      <c r="K76" s="22">
        <f>IF(K$4&gt;=1,Hypothèses!$B$92,0)</f>
        <v>50000</v>
      </c>
      <c r="L76" s="22">
        <f>IF(L$4&gt;=1,Hypothèses!$B$92,0)</f>
        <v>50000</v>
      </c>
      <c r="M76" s="22">
        <f>IF(M$4&gt;=1,Hypothèses!$B$92,0)</f>
        <v>50000</v>
      </c>
      <c r="N76" s="22">
        <f>IF(N$4&gt;=1,Hypothèses!$B$92,0)</f>
        <v>50000</v>
      </c>
      <c r="O76" s="22">
        <f>IF(O$4&gt;=1,Hypothèses!$B$92,0)</f>
        <v>50000</v>
      </c>
      <c r="P76" s="22">
        <f>IF(P$4&gt;=1,Hypothèses!$B$92,0)</f>
        <v>50000</v>
      </c>
      <c r="Q76" s="22">
        <f>IF(Q$4&gt;=1,Hypothèses!$B$92,0)</f>
        <v>50000</v>
      </c>
      <c r="R76" s="22">
        <f>IF(R$4&gt;=1,Hypothèses!$B$92,0)</f>
        <v>50000</v>
      </c>
      <c r="S76" s="22">
        <f>IF(S$4&gt;=1,Hypothèses!$B$92,0)</f>
        <v>50000</v>
      </c>
      <c r="T76" s="22">
        <f>IF(T$4&gt;=1,Hypothèses!$B$92,0)</f>
        <v>50000</v>
      </c>
      <c r="U76" s="22">
        <f>IF(U$4&gt;=1,Hypothèses!$B$92,0)</f>
        <v>50000</v>
      </c>
      <c r="V76" s="22">
        <f>IF(V$4&gt;=1,Hypothèses!$B$92,0)</f>
        <v>50000</v>
      </c>
      <c r="W76" s="22">
        <f>IF(W$4&gt;=1,Hypothèses!$B$92,0)</f>
        <v>50000</v>
      </c>
      <c r="X76" s="22">
        <f>IF(X$4&gt;=1,Hypothèses!$B$92,0)</f>
        <v>50000</v>
      </c>
      <c r="Y76" s="22">
        <f>IF(Y$4&gt;=1,Hypothèses!$B$92,0)</f>
        <v>50000</v>
      </c>
      <c r="Z76" s="22">
        <f>IF(Z$4&gt;=1,Hypothèses!$B$92,0)</f>
        <v>50000</v>
      </c>
      <c r="AA76" s="22">
        <f>IF(AA$4&gt;=1,Hypothèses!$B$92,0)</f>
        <v>50000</v>
      </c>
      <c r="AB76" s="22">
        <f>IF(AB$4&gt;=1,Hypothèses!$B$92,0)</f>
        <v>50000</v>
      </c>
      <c r="AC76" s="22">
        <f>IF(AC$4&gt;=1,Hypothèses!$B$92,0)</f>
        <v>50000</v>
      </c>
      <c r="AD76" s="22">
        <f>IF(AD$4&gt;=1,Hypothèses!$B$92,0)</f>
        <v>50000</v>
      </c>
      <c r="AE76" s="22">
        <f>IF(AE$4&gt;=1,Hypothèses!$B$92,0)</f>
        <v>50000</v>
      </c>
      <c r="AF76" s="22">
        <f>IF(AF$4&gt;=1,Hypothèses!$B$92,0)</f>
        <v>50000</v>
      </c>
      <c r="AG76" s="22">
        <f>IF(AG$4&gt;=1,Hypothèses!$B$92,0)</f>
        <v>50000</v>
      </c>
      <c r="AH76" s="22">
        <f>IF(AH$4&gt;=1,Hypothèses!$B$92,0)</f>
        <v>50000</v>
      </c>
      <c r="AI76" s="22">
        <f>IF(AI$4&gt;=1,Hypothèses!$B$92,0)</f>
        <v>50000</v>
      </c>
      <c r="AJ76" s="22">
        <f>IF(AJ$4&gt;=1,Hypothèses!$B$92,0)</f>
        <v>50000</v>
      </c>
      <c r="AK76" s="22">
        <f>IF(AK$4&gt;=1,Hypothèses!$B$92,0)</f>
        <v>50000</v>
      </c>
      <c r="AL76" s="22">
        <f>IF(AL$4&gt;=1,Hypothèses!$B$92,0)</f>
        <v>50000</v>
      </c>
      <c r="AM76" s="22">
        <f>IF(AM$4&gt;=1,Hypothèses!$B$92,0)</f>
        <v>50000</v>
      </c>
      <c r="AN76" s="22">
        <f>IF(AN$4&gt;=1,Hypothèses!$B$92,0)</f>
        <v>50000</v>
      </c>
      <c r="AO76" s="22">
        <f>IF(AO$4&gt;=1,Hypothèses!$B$92,0)</f>
        <v>50000</v>
      </c>
      <c r="AP76" s="22">
        <f>IF(AP$4&gt;=1,Hypothèses!$B$92,0)</f>
        <v>50000</v>
      </c>
      <c r="AQ76" s="22">
        <f>IF(AQ$4&gt;=1,Hypothèses!$B$92,0)</f>
        <v>50000</v>
      </c>
    </row>
    <row r="77" spans="1:43" x14ac:dyDescent="0.3">
      <c r="A77" s="10" t="s">
        <v>468</v>
      </c>
      <c r="B77" s="24">
        <f t="shared" si="22"/>
        <v>0</v>
      </c>
      <c r="C77" s="24">
        <f t="shared" si="23"/>
        <v>695000</v>
      </c>
      <c r="D77" s="24">
        <f t="shared" si="24"/>
        <v>790000</v>
      </c>
      <c r="E77" s="24">
        <f t="shared" si="25"/>
        <v>790000</v>
      </c>
      <c r="F77" s="24">
        <f t="shared" si="26"/>
        <v>2275000</v>
      </c>
      <c r="G77" s="24">
        <f t="shared" ref="G77:AQ77" si="28">G75+G76</f>
        <v>0</v>
      </c>
      <c r="H77" s="24">
        <f t="shared" si="28"/>
        <v>50000</v>
      </c>
      <c r="I77" s="24">
        <f t="shared" si="28"/>
        <v>50000</v>
      </c>
      <c r="J77" s="24">
        <f t="shared" si="28"/>
        <v>50000</v>
      </c>
      <c r="K77" s="24">
        <f t="shared" si="28"/>
        <v>50000</v>
      </c>
      <c r="L77" s="24">
        <f t="shared" si="28"/>
        <v>50000</v>
      </c>
      <c r="M77" s="24">
        <f t="shared" si="28"/>
        <v>50000</v>
      </c>
      <c r="N77" s="24">
        <f t="shared" si="28"/>
        <v>145000</v>
      </c>
      <c r="O77" s="24">
        <f t="shared" si="28"/>
        <v>50000</v>
      </c>
      <c r="P77" s="24">
        <f t="shared" si="28"/>
        <v>50000</v>
      </c>
      <c r="Q77" s="24">
        <f t="shared" si="28"/>
        <v>50000</v>
      </c>
      <c r="R77" s="24">
        <f t="shared" si="28"/>
        <v>50000</v>
      </c>
      <c r="S77" s="24">
        <f t="shared" si="28"/>
        <v>50000</v>
      </c>
      <c r="T77" s="24">
        <f t="shared" si="28"/>
        <v>145000</v>
      </c>
      <c r="U77" s="24">
        <f t="shared" si="28"/>
        <v>50000</v>
      </c>
      <c r="V77" s="24">
        <f t="shared" si="28"/>
        <v>50000</v>
      </c>
      <c r="W77" s="24">
        <f t="shared" si="28"/>
        <v>50000</v>
      </c>
      <c r="X77" s="24">
        <f t="shared" si="28"/>
        <v>50000</v>
      </c>
      <c r="Y77" s="24">
        <f t="shared" si="28"/>
        <v>50000</v>
      </c>
      <c r="Z77" s="24">
        <f t="shared" si="28"/>
        <v>145000</v>
      </c>
      <c r="AA77" s="24">
        <f t="shared" si="28"/>
        <v>50000</v>
      </c>
      <c r="AB77" s="24">
        <f t="shared" si="28"/>
        <v>50000</v>
      </c>
      <c r="AC77" s="24">
        <f t="shared" si="28"/>
        <v>50000</v>
      </c>
      <c r="AD77" s="24">
        <f t="shared" si="28"/>
        <v>50000</v>
      </c>
      <c r="AE77" s="24">
        <f t="shared" si="28"/>
        <v>50000</v>
      </c>
      <c r="AF77" s="24">
        <f t="shared" si="28"/>
        <v>145000</v>
      </c>
      <c r="AG77" s="24">
        <f t="shared" si="28"/>
        <v>50000</v>
      </c>
      <c r="AH77" s="24">
        <f t="shared" si="28"/>
        <v>50000</v>
      </c>
      <c r="AI77" s="24">
        <f t="shared" si="28"/>
        <v>50000</v>
      </c>
      <c r="AJ77" s="24">
        <f t="shared" si="28"/>
        <v>50000</v>
      </c>
      <c r="AK77" s="24">
        <f t="shared" si="28"/>
        <v>50000</v>
      </c>
      <c r="AL77" s="24">
        <f t="shared" si="28"/>
        <v>145000</v>
      </c>
      <c r="AM77" s="24">
        <f t="shared" si="28"/>
        <v>50000</v>
      </c>
      <c r="AN77" s="24">
        <f t="shared" si="28"/>
        <v>50000</v>
      </c>
      <c r="AO77" s="24">
        <f t="shared" si="28"/>
        <v>50000</v>
      </c>
      <c r="AP77" s="24">
        <f t="shared" si="28"/>
        <v>50000</v>
      </c>
      <c r="AQ77" s="24">
        <f t="shared" si="28"/>
        <v>50000</v>
      </c>
    </row>
    <row r="79" spans="1:43" x14ac:dyDescent="0.3">
      <c r="A79" s="4" t="s">
        <v>469</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spans="1:43" x14ac:dyDescent="0.3">
      <c r="A80" s="6" t="s">
        <v>470</v>
      </c>
      <c r="B80" s="22">
        <f>G80</f>
        <v>0</v>
      </c>
      <c r="C80" s="22">
        <f>SUM(H80:S80)</f>
        <v>2990000</v>
      </c>
      <c r="D80" s="22">
        <f>SUM(T80:AE80)</f>
        <v>3120000</v>
      </c>
      <c r="E80" s="22">
        <f>SUM(AF80:AQ80)</f>
        <v>3120000</v>
      </c>
      <c r="F80" s="22">
        <f>SUM(B80:E80)</f>
        <v>9230000</v>
      </c>
      <c r="G80" s="22">
        <f>(Hypothèses!$B$45*Hypothèses!$B$47*SUMPRODUCT($G$7:$AQ$7*((G$4-$G$4:$AQ$4)&gt;=0)*(1-0.5*((G$4-$G$4:$AQ$4)=0))))*Hypothèses!$B$94+G94</f>
        <v>0</v>
      </c>
      <c r="H80" s="22">
        <f>(Hypothèses!$B$45*Hypothèses!$B$47*SUMPRODUCT($G$7:$AQ$7*((H$4-$G$4:$AQ$4)&gt;=0)*(1-0.5*((H$4-$G$4:$AQ$4)=0))))*Hypothèses!$B$94+H94</f>
        <v>130000</v>
      </c>
      <c r="I80" s="22">
        <f>(Hypothèses!$B$45*Hypothèses!$B$47*SUMPRODUCT($G$7:$AQ$7*((I$4-$G$4:$AQ$4)&gt;=0)*(1-0.5*((I$4-$G$4:$AQ$4)=0))))*Hypothèses!$B$94+I94</f>
        <v>260000</v>
      </c>
      <c r="J80" s="22">
        <f>(Hypothèses!$B$45*Hypothèses!$B$47*SUMPRODUCT($G$7:$AQ$7*((J$4-$G$4:$AQ$4)&gt;=0)*(1-0.5*((J$4-$G$4:$AQ$4)=0))))*Hypothèses!$B$94+J94</f>
        <v>260000</v>
      </c>
      <c r="K80" s="22">
        <f>(Hypothèses!$B$45*Hypothèses!$B$47*SUMPRODUCT($G$7:$AQ$7*((K$4-$G$4:$AQ$4)&gt;=0)*(1-0.5*((K$4-$G$4:$AQ$4)=0))))*Hypothèses!$B$94+K94</f>
        <v>260000</v>
      </c>
      <c r="L80" s="22">
        <f>(Hypothèses!$B$45*Hypothèses!$B$47*SUMPRODUCT($G$7:$AQ$7*((L$4-$G$4:$AQ$4)&gt;=0)*(1-0.5*((L$4-$G$4:$AQ$4)=0))))*Hypothèses!$B$94+L94</f>
        <v>260000</v>
      </c>
      <c r="M80" s="22">
        <f>(Hypothèses!$B$45*Hypothèses!$B$47*SUMPRODUCT($G$7:$AQ$7*((M$4-$G$4:$AQ$4)&gt;=0)*(1-0.5*((M$4-$G$4:$AQ$4)=0))))*Hypothèses!$B$94+M94</f>
        <v>260000</v>
      </c>
      <c r="N80" s="22">
        <f>(Hypothèses!$B$45*Hypothèses!$B$47*SUMPRODUCT($G$7:$AQ$7*((N$4-$G$4:$AQ$4)&gt;=0)*(1-0.5*((N$4-$G$4:$AQ$4)=0))))*Hypothèses!$B$94+N94</f>
        <v>260000</v>
      </c>
      <c r="O80" s="22">
        <f>(Hypothèses!$B$45*Hypothèses!$B$47*SUMPRODUCT($G$7:$AQ$7*((O$4-$G$4:$AQ$4)&gt;=0)*(1-0.5*((O$4-$G$4:$AQ$4)=0))))*Hypothèses!$B$94+O94</f>
        <v>260000</v>
      </c>
      <c r="P80" s="22">
        <f>(Hypothèses!$B$45*Hypothèses!$B$47*SUMPRODUCT($G$7:$AQ$7*((P$4-$G$4:$AQ$4)&gt;=0)*(1-0.5*((P$4-$G$4:$AQ$4)=0))))*Hypothèses!$B$94+P94</f>
        <v>260000</v>
      </c>
      <c r="Q80" s="22">
        <f>(Hypothèses!$B$45*Hypothèses!$B$47*SUMPRODUCT($G$7:$AQ$7*((Q$4-$G$4:$AQ$4)&gt;=0)*(1-0.5*((Q$4-$G$4:$AQ$4)=0))))*Hypothèses!$B$94+Q94</f>
        <v>260000</v>
      </c>
      <c r="R80" s="22">
        <f>(Hypothèses!$B$45*Hypothèses!$B$47*SUMPRODUCT($G$7:$AQ$7*((R$4-$G$4:$AQ$4)&gt;=0)*(1-0.5*((R$4-$G$4:$AQ$4)=0))))*Hypothèses!$B$94+R94</f>
        <v>260000</v>
      </c>
      <c r="S80" s="22">
        <f>(Hypothèses!$B$45*Hypothèses!$B$47*SUMPRODUCT($G$7:$AQ$7*((S$4-$G$4:$AQ$4)&gt;=0)*(1-0.5*((S$4-$G$4:$AQ$4)=0))))*Hypothèses!$B$94+S94</f>
        <v>260000</v>
      </c>
      <c r="T80" s="22">
        <f>(Hypothèses!$B$45*Hypothèses!$B$47*SUMPRODUCT($G$7:$AQ$7*((T$4-$G$4:$AQ$4)&gt;=0)*(1-0.5*((T$4-$G$4:$AQ$4)=0))))*Hypothèses!$B$94+T94</f>
        <v>260000</v>
      </c>
      <c r="U80" s="22">
        <f>(Hypothèses!$B$45*Hypothèses!$B$47*SUMPRODUCT($G$7:$AQ$7*((U$4-$G$4:$AQ$4)&gt;=0)*(1-0.5*((U$4-$G$4:$AQ$4)=0))))*Hypothèses!$B$94+U94</f>
        <v>260000</v>
      </c>
      <c r="V80" s="22">
        <f>(Hypothèses!$B$45*Hypothèses!$B$47*SUMPRODUCT($G$7:$AQ$7*((V$4-$G$4:$AQ$4)&gt;=0)*(1-0.5*((V$4-$G$4:$AQ$4)=0))))*Hypothèses!$B$94+V94</f>
        <v>260000</v>
      </c>
      <c r="W80" s="22">
        <f>(Hypothèses!$B$45*Hypothèses!$B$47*SUMPRODUCT($G$7:$AQ$7*((W$4-$G$4:$AQ$4)&gt;=0)*(1-0.5*((W$4-$G$4:$AQ$4)=0))))*Hypothèses!$B$94+W94</f>
        <v>260000</v>
      </c>
      <c r="X80" s="22">
        <f>(Hypothèses!$B$45*Hypothèses!$B$47*SUMPRODUCT($G$7:$AQ$7*((X$4-$G$4:$AQ$4)&gt;=0)*(1-0.5*((X$4-$G$4:$AQ$4)=0))))*Hypothèses!$B$94+X94</f>
        <v>260000</v>
      </c>
      <c r="Y80" s="22">
        <f>(Hypothèses!$B$45*Hypothèses!$B$47*SUMPRODUCT($G$7:$AQ$7*((Y$4-$G$4:$AQ$4)&gt;=0)*(1-0.5*((Y$4-$G$4:$AQ$4)=0))))*Hypothèses!$B$94+Y94</f>
        <v>260000</v>
      </c>
      <c r="Z80" s="22">
        <f>(Hypothèses!$B$45*Hypothèses!$B$47*SUMPRODUCT($G$7:$AQ$7*((Z$4-$G$4:$AQ$4)&gt;=0)*(1-0.5*((Z$4-$G$4:$AQ$4)=0))))*Hypothèses!$B$94+Z94</f>
        <v>260000</v>
      </c>
      <c r="AA80" s="22">
        <f>(Hypothèses!$B$45*Hypothèses!$B$47*SUMPRODUCT($G$7:$AQ$7*((AA$4-$G$4:$AQ$4)&gt;=0)*(1-0.5*((AA$4-$G$4:$AQ$4)=0))))*Hypothèses!$B$94+AA94</f>
        <v>260000</v>
      </c>
      <c r="AB80" s="22">
        <f>(Hypothèses!$B$45*Hypothèses!$B$47*SUMPRODUCT($G$7:$AQ$7*((AB$4-$G$4:$AQ$4)&gt;=0)*(1-0.5*((AB$4-$G$4:$AQ$4)=0))))*Hypothèses!$B$94+AB94</f>
        <v>260000</v>
      </c>
      <c r="AC80" s="22">
        <f>(Hypothèses!$B$45*Hypothèses!$B$47*SUMPRODUCT($G$7:$AQ$7*((AC$4-$G$4:$AQ$4)&gt;=0)*(1-0.5*((AC$4-$G$4:$AQ$4)=0))))*Hypothèses!$B$94+AC94</f>
        <v>260000</v>
      </c>
      <c r="AD80" s="22">
        <f>(Hypothèses!$B$45*Hypothèses!$B$47*SUMPRODUCT($G$7:$AQ$7*((AD$4-$G$4:$AQ$4)&gt;=0)*(1-0.5*((AD$4-$G$4:$AQ$4)=0))))*Hypothèses!$B$94+AD94</f>
        <v>260000</v>
      </c>
      <c r="AE80" s="22">
        <f>(Hypothèses!$B$45*Hypothèses!$B$47*SUMPRODUCT($G$7:$AQ$7*((AE$4-$G$4:$AQ$4)&gt;=0)*(1-0.5*((AE$4-$G$4:$AQ$4)=0))))*Hypothèses!$B$94+AE94</f>
        <v>260000</v>
      </c>
      <c r="AF80" s="22">
        <f>(Hypothèses!$B$45*Hypothèses!$B$47*SUMPRODUCT($G$7:$AQ$7*((AF$4-$G$4:$AQ$4)&gt;=0)*(1-0.5*((AF$4-$G$4:$AQ$4)=0))))*Hypothèses!$B$94+AF94</f>
        <v>260000</v>
      </c>
      <c r="AG80" s="22">
        <f>(Hypothèses!$B$45*Hypothèses!$B$47*SUMPRODUCT($G$7:$AQ$7*((AG$4-$G$4:$AQ$4)&gt;=0)*(1-0.5*((AG$4-$G$4:$AQ$4)=0))))*Hypothèses!$B$94+AG94</f>
        <v>260000</v>
      </c>
      <c r="AH80" s="22">
        <f>(Hypothèses!$B$45*Hypothèses!$B$47*SUMPRODUCT($G$7:$AQ$7*((AH$4-$G$4:$AQ$4)&gt;=0)*(1-0.5*((AH$4-$G$4:$AQ$4)=0))))*Hypothèses!$B$94+AH94</f>
        <v>260000</v>
      </c>
      <c r="AI80" s="22">
        <f>(Hypothèses!$B$45*Hypothèses!$B$47*SUMPRODUCT($G$7:$AQ$7*((AI$4-$G$4:$AQ$4)&gt;=0)*(1-0.5*((AI$4-$G$4:$AQ$4)=0))))*Hypothèses!$B$94+AI94</f>
        <v>260000</v>
      </c>
      <c r="AJ80" s="22">
        <f>(Hypothèses!$B$45*Hypothèses!$B$47*SUMPRODUCT($G$7:$AQ$7*((AJ$4-$G$4:$AQ$4)&gt;=0)*(1-0.5*((AJ$4-$G$4:$AQ$4)=0))))*Hypothèses!$B$94+AJ94</f>
        <v>260000</v>
      </c>
      <c r="AK80" s="22">
        <f>(Hypothèses!$B$45*Hypothèses!$B$47*SUMPRODUCT($G$7:$AQ$7*((AK$4-$G$4:$AQ$4)&gt;=0)*(1-0.5*((AK$4-$G$4:$AQ$4)=0))))*Hypothèses!$B$94+AK94</f>
        <v>260000</v>
      </c>
      <c r="AL80" s="22">
        <f>(Hypothèses!$B$45*Hypothèses!$B$47*SUMPRODUCT($G$7:$AQ$7*((AL$4-$G$4:$AQ$4)&gt;=0)*(1-0.5*((AL$4-$G$4:$AQ$4)=0))))*Hypothèses!$B$94+AL94</f>
        <v>260000</v>
      </c>
      <c r="AM80" s="22">
        <f>(Hypothèses!$B$45*Hypothèses!$B$47*SUMPRODUCT($G$7:$AQ$7*((AM$4-$G$4:$AQ$4)&gt;=0)*(1-0.5*((AM$4-$G$4:$AQ$4)=0))))*Hypothèses!$B$94+AM94</f>
        <v>260000</v>
      </c>
      <c r="AN80" s="22">
        <f>(Hypothèses!$B$45*Hypothèses!$B$47*SUMPRODUCT($G$7:$AQ$7*((AN$4-$G$4:$AQ$4)&gt;=0)*(1-0.5*((AN$4-$G$4:$AQ$4)=0))))*Hypothèses!$B$94+AN94</f>
        <v>260000</v>
      </c>
      <c r="AO80" s="22">
        <f>(Hypothèses!$B$45*Hypothèses!$B$47*SUMPRODUCT($G$7:$AQ$7*((AO$4-$G$4:$AQ$4)&gt;=0)*(1-0.5*((AO$4-$G$4:$AQ$4)=0))))*Hypothèses!$B$94+AO94</f>
        <v>260000</v>
      </c>
      <c r="AP80" s="22">
        <f>(Hypothèses!$B$45*Hypothèses!$B$47*SUMPRODUCT($G$7:$AQ$7*((AP$4-$G$4:$AQ$4)&gt;=0)*(1-0.5*((AP$4-$G$4:$AQ$4)=0))))*Hypothèses!$B$94+AP94</f>
        <v>260000</v>
      </c>
      <c r="AQ80" s="22">
        <f>(Hypothèses!$B$45*Hypothèses!$B$47*SUMPRODUCT($G$7:$AQ$7*((AQ$4-$G$4:$AQ$4)&gt;=0)*(1-0.5*((AQ$4-$G$4:$AQ$4)=0))))*Hypothèses!$B$94+AQ94</f>
        <v>260000</v>
      </c>
    </row>
    <row r="81" spans="1:43" x14ac:dyDescent="0.3">
      <c r="A81" s="6" t="s">
        <v>471</v>
      </c>
      <c r="B81" s="22">
        <f>G81</f>
        <v>0</v>
      </c>
      <c r="C81" s="22">
        <f>SUM(H81:S81)</f>
        <v>8745750</v>
      </c>
      <c r="D81" s="22">
        <f>SUM(T81:AE81)</f>
        <v>9126000</v>
      </c>
      <c r="E81" s="22">
        <f>SUM(AF81:AQ81)</f>
        <v>9126000</v>
      </c>
      <c r="F81" s="22">
        <f>SUM(B81:E81)</f>
        <v>26997750</v>
      </c>
      <c r="G81" s="22">
        <f>(Hypothèses!$B$46*Hypothèses!$B$47*SUMPRODUCT($G$8:$AQ$8*((G$4-$G$4:$AQ$4)&gt;=0)*(1-0.5*((G$4-$G$4:$AQ$4)=0))))*Hypothèses!$B$94+G95</f>
        <v>0</v>
      </c>
      <c r="H81" s="22">
        <f>(Hypothèses!$B$46*Hypothèses!$B$47*SUMPRODUCT($G$8:$AQ$8*((H$4-$G$4:$AQ$4)&gt;=0)*(1-0.5*((H$4-$G$4:$AQ$4)=0))))*Hypothèses!$B$94+H95</f>
        <v>380250</v>
      </c>
      <c r="I81" s="22">
        <f>(Hypothèses!$B$46*Hypothèses!$B$47*SUMPRODUCT($G$8:$AQ$8*((I$4-$G$4:$AQ$4)&gt;=0)*(1-0.5*((I$4-$G$4:$AQ$4)=0))))*Hypothèses!$B$94+I95</f>
        <v>760500</v>
      </c>
      <c r="J81" s="22">
        <f>(Hypothèses!$B$46*Hypothèses!$B$47*SUMPRODUCT($G$8:$AQ$8*((J$4-$G$4:$AQ$4)&gt;=0)*(1-0.5*((J$4-$G$4:$AQ$4)=0))))*Hypothèses!$B$94+J95</f>
        <v>760500</v>
      </c>
      <c r="K81" s="22">
        <f>(Hypothèses!$B$46*Hypothèses!$B$47*SUMPRODUCT($G$8:$AQ$8*((K$4-$G$4:$AQ$4)&gt;=0)*(1-0.5*((K$4-$G$4:$AQ$4)=0))))*Hypothèses!$B$94+K95</f>
        <v>760500</v>
      </c>
      <c r="L81" s="22">
        <f>(Hypothèses!$B$46*Hypothèses!$B$47*SUMPRODUCT($G$8:$AQ$8*((L$4-$G$4:$AQ$4)&gt;=0)*(1-0.5*((L$4-$G$4:$AQ$4)=0))))*Hypothèses!$B$94+L95</f>
        <v>760500</v>
      </c>
      <c r="M81" s="22">
        <f>(Hypothèses!$B$46*Hypothèses!$B$47*SUMPRODUCT($G$8:$AQ$8*((M$4-$G$4:$AQ$4)&gt;=0)*(1-0.5*((M$4-$G$4:$AQ$4)=0))))*Hypothèses!$B$94+M95</f>
        <v>760500</v>
      </c>
      <c r="N81" s="22">
        <f>(Hypothèses!$B$46*Hypothèses!$B$47*SUMPRODUCT($G$8:$AQ$8*((N$4-$G$4:$AQ$4)&gt;=0)*(1-0.5*((N$4-$G$4:$AQ$4)=0))))*Hypothèses!$B$94+N95</f>
        <v>760500</v>
      </c>
      <c r="O81" s="22">
        <f>(Hypothèses!$B$46*Hypothèses!$B$47*SUMPRODUCT($G$8:$AQ$8*((O$4-$G$4:$AQ$4)&gt;=0)*(1-0.5*((O$4-$G$4:$AQ$4)=0))))*Hypothèses!$B$94+O95</f>
        <v>760500</v>
      </c>
      <c r="P81" s="22">
        <f>(Hypothèses!$B$46*Hypothèses!$B$47*SUMPRODUCT($G$8:$AQ$8*((P$4-$G$4:$AQ$4)&gt;=0)*(1-0.5*((P$4-$G$4:$AQ$4)=0))))*Hypothèses!$B$94+P95</f>
        <v>760500</v>
      </c>
      <c r="Q81" s="22">
        <f>(Hypothèses!$B$46*Hypothèses!$B$47*SUMPRODUCT($G$8:$AQ$8*((Q$4-$G$4:$AQ$4)&gt;=0)*(1-0.5*((Q$4-$G$4:$AQ$4)=0))))*Hypothèses!$B$94+Q95</f>
        <v>760500</v>
      </c>
      <c r="R81" s="22">
        <f>(Hypothèses!$B$46*Hypothèses!$B$47*SUMPRODUCT($G$8:$AQ$8*((R$4-$G$4:$AQ$4)&gt;=0)*(1-0.5*((R$4-$G$4:$AQ$4)=0))))*Hypothèses!$B$94+R95</f>
        <v>760500</v>
      </c>
      <c r="S81" s="22">
        <f>(Hypothèses!$B$46*Hypothèses!$B$47*SUMPRODUCT($G$8:$AQ$8*((S$4-$G$4:$AQ$4)&gt;=0)*(1-0.5*((S$4-$G$4:$AQ$4)=0))))*Hypothèses!$B$94+S95</f>
        <v>760500</v>
      </c>
      <c r="T81" s="22">
        <f>(Hypothèses!$B$46*Hypothèses!$B$47*SUMPRODUCT($G$8:$AQ$8*((T$4-$G$4:$AQ$4)&gt;=0)*(1-0.5*((T$4-$G$4:$AQ$4)=0))))*Hypothèses!$B$94+T95</f>
        <v>760500</v>
      </c>
      <c r="U81" s="22">
        <f>(Hypothèses!$B$46*Hypothèses!$B$47*SUMPRODUCT($G$8:$AQ$8*((U$4-$G$4:$AQ$4)&gt;=0)*(1-0.5*((U$4-$G$4:$AQ$4)=0))))*Hypothèses!$B$94+U95</f>
        <v>760500</v>
      </c>
      <c r="V81" s="22">
        <f>(Hypothèses!$B$46*Hypothèses!$B$47*SUMPRODUCT($G$8:$AQ$8*((V$4-$G$4:$AQ$4)&gt;=0)*(1-0.5*((V$4-$G$4:$AQ$4)=0))))*Hypothèses!$B$94+V95</f>
        <v>760500</v>
      </c>
      <c r="W81" s="22">
        <f>(Hypothèses!$B$46*Hypothèses!$B$47*SUMPRODUCT($G$8:$AQ$8*((W$4-$G$4:$AQ$4)&gt;=0)*(1-0.5*((W$4-$G$4:$AQ$4)=0))))*Hypothèses!$B$94+W95</f>
        <v>760500</v>
      </c>
      <c r="X81" s="22">
        <f>(Hypothèses!$B$46*Hypothèses!$B$47*SUMPRODUCT($G$8:$AQ$8*((X$4-$G$4:$AQ$4)&gt;=0)*(1-0.5*((X$4-$G$4:$AQ$4)=0))))*Hypothèses!$B$94+X95</f>
        <v>760500</v>
      </c>
      <c r="Y81" s="22">
        <f>(Hypothèses!$B$46*Hypothèses!$B$47*SUMPRODUCT($G$8:$AQ$8*((Y$4-$G$4:$AQ$4)&gt;=0)*(1-0.5*((Y$4-$G$4:$AQ$4)=0))))*Hypothèses!$B$94+Y95</f>
        <v>760500</v>
      </c>
      <c r="Z81" s="22">
        <f>(Hypothèses!$B$46*Hypothèses!$B$47*SUMPRODUCT($G$8:$AQ$8*((Z$4-$G$4:$AQ$4)&gt;=0)*(1-0.5*((Z$4-$G$4:$AQ$4)=0))))*Hypothèses!$B$94+Z95</f>
        <v>760500</v>
      </c>
      <c r="AA81" s="22">
        <f>(Hypothèses!$B$46*Hypothèses!$B$47*SUMPRODUCT($G$8:$AQ$8*((AA$4-$G$4:$AQ$4)&gt;=0)*(1-0.5*((AA$4-$G$4:$AQ$4)=0))))*Hypothèses!$B$94+AA95</f>
        <v>760500</v>
      </c>
      <c r="AB81" s="22">
        <f>(Hypothèses!$B$46*Hypothèses!$B$47*SUMPRODUCT($G$8:$AQ$8*((AB$4-$G$4:$AQ$4)&gt;=0)*(1-0.5*((AB$4-$G$4:$AQ$4)=0))))*Hypothèses!$B$94+AB95</f>
        <v>760500</v>
      </c>
      <c r="AC81" s="22">
        <f>(Hypothèses!$B$46*Hypothèses!$B$47*SUMPRODUCT($G$8:$AQ$8*((AC$4-$G$4:$AQ$4)&gt;=0)*(1-0.5*((AC$4-$G$4:$AQ$4)=0))))*Hypothèses!$B$94+AC95</f>
        <v>760500</v>
      </c>
      <c r="AD81" s="22">
        <f>(Hypothèses!$B$46*Hypothèses!$B$47*SUMPRODUCT($G$8:$AQ$8*((AD$4-$G$4:$AQ$4)&gt;=0)*(1-0.5*((AD$4-$G$4:$AQ$4)=0))))*Hypothèses!$B$94+AD95</f>
        <v>760500</v>
      </c>
      <c r="AE81" s="22">
        <f>(Hypothèses!$B$46*Hypothèses!$B$47*SUMPRODUCT($G$8:$AQ$8*((AE$4-$G$4:$AQ$4)&gt;=0)*(1-0.5*((AE$4-$G$4:$AQ$4)=0))))*Hypothèses!$B$94+AE95</f>
        <v>760500</v>
      </c>
      <c r="AF81" s="22">
        <f>(Hypothèses!$B$46*Hypothèses!$B$47*SUMPRODUCT($G$8:$AQ$8*((AF$4-$G$4:$AQ$4)&gt;=0)*(1-0.5*((AF$4-$G$4:$AQ$4)=0))))*Hypothèses!$B$94+AF95</f>
        <v>760500</v>
      </c>
      <c r="AG81" s="22">
        <f>(Hypothèses!$B$46*Hypothèses!$B$47*SUMPRODUCT($G$8:$AQ$8*((AG$4-$G$4:$AQ$4)&gt;=0)*(1-0.5*((AG$4-$G$4:$AQ$4)=0))))*Hypothèses!$B$94+AG95</f>
        <v>760500</v>
      </c>
      <c r="AH81" s="22">
        <f>(Hypothèses!$B$46*Hypothèses!$B$47*SUMPRODUCT($G$8:$AQ$8*((AH$4-$G$4:$AQ$4)&gt;=0)*(1-0.5*((AH$4-$G$4:$AQ$4)=0))))*Hypothèses!$B$94+AH95</f>
        <v>760500</v>
      </c>
      <c r="AI81" s="22">
        <f>(Hypothèses!$B$46*Hypothèses!$B$47*SUMPRODUCT($G$8:$AQ$8*((AI$4-$G$4:$AQ$4)&gt;=0)*(1-0.5*((AI$4-$G$4:$AQ$4)=0))))*Hypothèses!$B$94+AI95</f>
        <v>760500</v>
      </c>
      <c r="AJ81" s="22">
        <f>(Hypothèses!$B$46*Hypothèses!$B$47*SUMPRODUCT($G$8:$AQ$8*((AJ$4-$G$4:$AQ$4)&gt;=0)*(1-0.5*((AJ$4-$G$4:$AQ$4)=0))))*Hypothèses!$B$94+AJ95</f>
        <v>760500</v>
      </c>
      <c r="AK81" s="22">
        <f>(Hypothèses!$B$46*Hypothèses!$B$47*SUMPRODUCT($G$8:$AQ$8*((AK$4-$G$4:$AQ$4)&gt;=0)*(1-0.5*((AK$4-$G$4:$AQ$4)=0))))*Hypothèses!$B$94+AK95</f>
        <v>760500</v>
      </c>
      <c r="AL81" s="22">
        <f>(Hypothèses!$B$46*Hypothèses!$B$47*SUMPRODUCT($G$8:$AQ$8*((AL$4-$G$4:$AQ$4)&gt;=0)*(1-0.5*((AL$4-$G$4:$AQ$4)=0))))*Hypothèses!$B$94+AL95</f>
        <v>760500</v>
      </c>
      <c r="AM81" s="22">
        <f>(Hypothèses!$B$46*Hypothèses!$B$47*SUMPRODUCT($G$8:$AQ$8*((AM$4-$G$4:$AQ$4)&gt;=0)*(1-0.5*((AM$4-$G$4:$AQ$4)=0))))*Hypothèses!$B$94+AM95</f>
        <v>760500</v>
      </c>
      <c r="AN81" s="22">
        <f>(Hypothèses!$B$46*Hypothèses!$B$47*SUMPRODUCT($G$8:$AQ$8*((AN$4-$G$4:$AQ$4)&gt;=0)*(1-0.5*((AN$4-$G$4:$AQ$4)=0))))*Hypothèses!$B$94+AN95</f>
        <v>760500</v>
      </c>
      <c r="AO81" s="22">
        <f>(Hypothèses!$B$46*Hypothèses!$B$47*SUMPRODUCT($G$8:$AQ$8*((AO$4-$G$4:$AQ$4)&gt;=0)*(1-0.5*((AO$4-$G$4:$AQ$4)=0))))*Hypothèses!$B$94+AO95</f>
        <v>760500</v>
      </c>
      <c r="AP81" s="22">
        <f>(Hypothèses!$B$46*Hypothèses!$B$47*SUMPRODUCT($G$8:$AQ$8*((AP$4-$G$4:$AQ$4)&gt;=0)*(1-0.5*((AP$4-$G$4:$AQ$4)=0))))*Hypothèses!$B$94+AP95</f>
        <v>760500</v>
      </c>
      <c r="AQ81" s="22">
        <f>(Hypothèses!$B$46*Hypothèses!$B$47*SUMPRODUCT($G$8:$AQ$8*((AQ$4-$G$4:$AQ$4)&gt;=0)*(1-0.5*((AQ$4-$G$4:$AQ$4)=0))))*Hypothèses!$B$94+AQ95</f>
        <v>760500</v>
      </c>
    </row>
    <row r="82" spans="1:43" x14ac:dyDescent="0.3">
      <c r="A82" s="6" t="s">
        <v>472</v>
      </c>
      <c r="B82" s="22">
        <f>G82</f>
        <v>0</v>
      </c>
      <c r="C82" s="22">
        <f>SUM(H82:S82)</f>
        <v>29386500</v>
      </c>
      <c r="D82" s="22">
        <f>SUM(T82:AE82)</f>
        <v>38469600</v>
      </c>
      <c r="E82" s="22">
        <f>SUM(AF82:AQ82)</f>
        <v>38469600</v>
      </c>
      <c r="F82" s="22">
        <f>SUM(B82:E82)</f>
        <v>106325700</v>
      </c>
      <c r="G82" s="22">
        <f>(IF(G$4&lt;Hypothèses!$B$59,0,Hypothèses!$B$57*Hypothèses!$B$60*Hypothèses!$B$47*IF(G$4=Hypothèses!$B$59,0.5,1)))*Hypothèses!$B$94+G92</f>
        <v>0</v>
      </c>
      <c r="H82" s="22">
        <f>(IF(H$4&lt;Hypothèses!$B$59,0,Hypothèses!$B$57*Hypothèses!$B$60*Hypothèses!$B$47*IF(H$4=Hypothèses!$B$59,0.5,1)))*Hypothèses!$B$94+H92</f>
        <v>1068600</v>
      </c>
      <c r="I82" s="22">
        <f>(IF(I$4&lt;Hypothèses!$B$59,0,Hypothèses!$B$57*Hypothèses!$B$60*Hypothèses!$B$47*IF(I$4=Hypothèses!$B$59,0.5,1)))*Hypothèses!$B$94+I92</f>
        <v>2137200</v>
      </c>
      <c r="J82" s="22">
        <f>(IF(J$4&lt;Hypothèses!$B$59,0,Hypothèses!$B$57*Hypothèses!$B$60*Hypothèses!$B$47*IF(J$4=Hypothèses!$B$59,0.5,1)))*Hypothèses!$B$94+J92</f>
        <v>2137200</v>
      </c>
      <c r="K82" s="22">
        <f>(IF(K$4&lt;Hypothèses!$B$59,0,Hypothèses!$B$57*Hypothèses!$B$60*Hypothèses!$B$47*IF(K$4=Hypothèses!$B$59,0.5,1)))*Hypothèses!$B$94+K92</f>
        <v>2137200</v>
      </c>
      <c r="L82" s="22">
        <f>(IF(L$4&lt;Hypothèses!$B$59,0,Hypothèses!$B$57*Hypothèses!$B$60*Hypothèses!$B$47*IF(L$4=Hypothèses!$B$59,0.5,1)))*Hypothèses!$B$94+L92</f>
        <v>2315300</v>
      </c>
      <c r="M82" s="22">
        <f>(IF(M$4&lt;Hypothèses!$B$59,0,Hypothèses!$B$57*Hypothèses!$B$60*Hypothèses!$B$47*IF(M$4=Hypothèses!$B$59,0.5,1)))*Hypothèses!$B$94+M92</f>
        <v>2493400</v>
      </c>
      <c r="N82" s="22">
        <f>(IF(N$4&lt;Hypothèses!$B$59,0,Hypothèses!$B$57*Hypothèses!$B$60*Hypothèses!$B$47*IF(N$4=Hypothèses!$B$59,0.5,1)))*Hypothèses!$B$94+N92</f>
        <v>2493400</v>
      </c>
      <c r="O82" s="22">
        <f>(IF(O$4&lt;Hypothèses!$B$59,0,Hypothèses!$B$57*Hypothèses!$B$60*Hypothèses!$B$47*IF(O$4=Hypothèses!$B$59,0.5,1)))*Hypothèses!$B$94+O92</f>
        <v>2671500</v>
      </c>
      <c r="P82" s="22">
        <f>(IF(P$4&lt;Hypothèses!$B$59,0,Hypothèses!$B$57*Hypothèses!$B$60*Hypothèses!$B$47*IF(P$4=Hypothèses!$B$59,0.5,1)))*Hypothèses!$B$94+P92</f>
        <v>2849600</v>
      </c>
      <c r="Q82" s="22">
        <f>(IF(Q$4&lt;Hypothèses!$B$59,0,Hypothèses!$B$57*Hypothèses!$B$60*Hypothèses!$B$47*IF(Q$4=Hypothèses!$B$59,0.5,1)))*Hypothèses!$B$94+Q92</f>
        <v>2849600</v>
      </c>
      <c r="R82" s="22">
        <f>(IF(R$4&lt;Hypothèses!$B$59,0,Hypothèses!$B$57*Hypothèses!$B$60*Hypothèses!$B$47*IF(R$4=Hypothèses!$B$59,0.5,1)))*Hypothèses!$B$94+R92</f>
        <v>3027700</v>
      </c>
      <c r="S82" s="22">
        <f>(IF(S$4&lt;Hypothèses!$B$59,0,Hypothèses!$B$57*Hypothèses!$B$60*Hypothèses!$B$47*IF(S$4=Hypothèses!$B$59,0.5,1)))*Hypothèses!$B$94+S92</f>
        <v>3205800</v>
      </c>
      <c r="T82" s="22">
        <f>(IF(T$4&lt;Hypothèses!$B$59,0,Hypothèses!$B$57*Hypothèses!$B$60*Hypothèses!$B$47*IF(T$4=Hypothèses!$B$59,0.5,1)))*Hypothèses!$B$94+T92</f>
        <v>3205800</v>
      </c>
      <c r="U82" s="22">
        <f>(IF(U$4&lt;Hypothèses!$B$59,0,Hypothèses!$B$57*Hypothèses!$B$60*Hypothèses!$B$47*IF(U$4=Hypothèses!$B$59,0.5,1)))*Hypothèses!$B$94+U92</f>
        <v>3205800</v>
      </c>
      <c r="V82" s="22">
        <f>(IF(V$4&lt;Hypothèses!$B$59,0,Hypothèses!$B$57*Hypothèses!$B$60*Hypothèses!$B$47*IF(V$4=Hypothèses!$B$59,0.5,1)))*Hypothèses!$B$94+V92</f>
        <v>3205800</v>
      </c>
      <c r="W82" s="22">
        <f>(IF(W$4&lt;Hypothèses!$B$59,0,Hypothèses!$B$57*Hypothèses!$B$60*Hypothèses!$B$47*IF(W$4=Hypothèses!$B$59,0.5,1)))*Hypothèses!$B$94+W92</f>
        <v>3205800</v>
      </c>
      <c r="X82" s="22">
        <f>(IF(X$4&lt;Hypothèses!$B$59,0,Hypothèses!$B$57*Hypothèses!$B$60*Hypothèses!$B$47*IF(X$4=Hypothèses!$B$59,0.5,1)))*Hypothèses!$B$94+X92</f>
        <v>3205800</v>
      </c>
      <c r="Y82" s="22">
        <f>(IF(Y$4&lt;Hypothèses!$B$59,0,Hypothèses!$B$57*Hypothèses!$B$60*Hypothèses!$B$47*IF(Y$4=Hypothèses!$B$59,0.5,1)))*Hypothèses!$B$94+Y92</f>
        <v>3205800</v>
      </c>
      <c r="Z82" s="22">
        <f>(IF(Z$4&lt;Hypothèses!$B$59,0,Hypothèses!$B$57*Hypothèses!$B$60*Hypothèses!$B$47*IF(Z$4=Hypothèses!$B$59,0.5,1)))*Hypothèses!$B$94+Z92</f>
        <v>3205800</v>
      </c>
      <c r="AA82" s="22">
        <f>(IF(AA$4&lt;Hypothèses!$B$59,0,Hypothèses!$B$57*Hypothèses!$B$60*Hypothèses!$B$47*IF(AA$4=Hypothèses!$B$59,0.5,1)))*Hypothèses!$B$94+AA92</f>
        <v>3205800</v>
      </c>
      <c r="AB82" s="22">
        <f>(IF(AB$4&lt;Hypothèses!$B$59,0,Hypothèses!$B$57*Hypothèses!$B$60*Hypothèses!$B$47*IF(AB$4=Hypothèses!$B$59,0.5,1)))*Hypothèses!$B$94+AB92</f>
        <v>3205800</v>
      </c>
      <c r="AC82" s="22">
        <f>(IF(AC$4&lt;Hypothèses!$B$59,0,Hypothèses!$B$57*Hypothèses!$B$60*Hypothèses!$B$47*IF(AC$4=Hypothèses!$B$59,0.5,1)))*Hypothèses!$B$94+AC92</f>
        <v>3205800</v>
      </c>
      <c r="AD82" s="22">
        <f>(IF(AD$4&lt;Hypothèses!$B$59,0,Hypothèses!$B$57*Hypothèses!$B$60*Hypothèses!$B$47*IF(AD$4=Hypothèses!$B$59,0.5,1)))*Hypothèses!$B$94+AD92</f>
        <v>3205800</v>
      </c>
      <c r="AE82" s="22">
        <f>(IF(AE$4&lt;Hypothèses!$B$59,0,Hypothèses!$B$57*Hypothèses!$B$60*Hypothèses!$B$47*IF(AE$4=Hypothèses!$B$59,0.5,1)))*Hypothèses!$B$94+AE92</f>
        <v>3205800</v>
      </c>
      <c r="AF82" s="22">
        <f>(IF(AF$4&lt;Hypothèses!$B$59,0,Hypothèses!$B$57*Hypothèses!$B$60*Hypothèses!$B$47*IF(AF$4=Hypothèses!$B$59,0.5,1)))*Hypothèses!$B$94+AF92</f>
        <v>3205800</v>
      </c>
      <c r="AG82" s="22">
        <f>(IF(AG$4&lt;Hypothèses!$B$59,0,Hypothèses!$B$57*Hypothèses!$B$60*Hypothèses!$B$47*IF(AG$4=Hypothèses!$B$59,0.5,1)))*Hypothèses!$B$94+AG92</f>
        <v>3205800</v>
      </c>
      <c r="AH82" s="22">
        <f>(IF(AH$4&lt;Hypothèses!$B$59,0,Hypothèses!$B$57*Hypothèses!$B$60*Hypothèses!$B$47*IF(AH$4=Hypothèses!$B$59,0.5,1)))*Hypothèses!$B$94+AH92</f>
        <v>3205800</v>
      </c>
      <c r="AI82" s="22">
        <f>(IF(AI$4&lt;Hypothèses!$B$59,0,Hypothèses!$B$57*Hypothèses!$B$60*Hypothèses!$B$47*IF(AI$4=Hypothèses!$B$59,0.5,1)))*Hypothèses!$B$94+AI92</f>
        <v>3205800</v>
      </c>
      <c r="AJ82" s="22">
        <f>(IF(AJ$4&lt;Hypothèses!$B$59,0,Hypothèses!$B$57*Hypothèses!$B$60*Hypothèses!$B$47*IF(AJ$4=Hypothèses!$B$59,0.5,1)))*Hypothèses!$B$94+AJ92</f>
        <v>3205800</v>
      </c>
      <c r="AK82" s="22">
        <f>(IF(AK$4&lt;Hypothèses!$B$59,0,Hypothèses!$B$57*Hypothèses!$B$60*Hypothèses!$B$47*IF(AK$4=Hypothèses!$B$59,0.5,1)))*Hypothèses!$B$94+AK92</f>
        <v>3205800</v>
      </c>
      <c r="AL82" s="22">
        <f>(IF(AL$4&lt;Hypothèses!$B$59,0,Hypothèses!$B$57*Hypothèses!$B$60*Hypothèses!$B$47*IF(AL$4=Hypothèses!$B$59,0.5,1)))*Hypothèses!$B$94+AL92</f>
        <v>3205800</v>
      </c>
      <c r="AM82" s="22">
        <f>(IF(AM$4&lt;Hypothèses!$B$59,0,Hypothèses!$B$57*Hypothèses!$B$60*Hypothèses!$B$47*IF(AM$4=Hypothèses!$B$59,0.5,1)))*Hypothèses!$B$94+AM92</f>
        <v>3205800</v>
      </c>
      <c r="AN82" s="22">
        <f>(IF(AN$4&lt;Hypothèses!$B$59,0,Hypothèses!$B$57*Hypothèses!$B$60*Hypothèses!$B$47*IF(AN$4=Hypothèses!$B$59,0.5,1)))*Hypothèses!$B$94+AN92</f>
        <v>3205800</v>
      </c>
      <c r="AO82" s="22">
        <f>(IF(AO$4&lt;Hypothèses!$B$59,0,Hypothèses!$B$57*Hypothèses!$B$60*Hypothèses!$B$47*IF(AO$4=Hypothèses!$B$59,0.5,1)))*Hypothèses!$B$94+AO92</f>
        <v>3205800</v>
      </c>
      <c r="AP82" s="22">
        <f>(IF(AP$4&lt;Hypothèses!$B$59,0,Hypothèses!$B$57*Hypothèses!$B$60*Hypothèses!$B$47*IF(AP$4=Hypothèses!$B$59,0.5,1)))*Hypothèses!$B$94+AP92</f>
        <v>3205800</v>
      </c>
      <c r="AQ82" s="22">
        <f>(IF(AQ$4&lt;Hypothèses!$B$59,0,Hypothèses!$B$57*Hypothèses!$B$60*Hypothèses!$B$47*IF(AQ$4=Hypothèses!$B$59,0.5,1)))*Hypothèses!$B$94+AQ92</f>
        <v>3205800</v>
      </c>
    </row>
    <row r="83" spans="1:43" x14ac:dyDescent="0.3">
      <c r="A83" s="6" t="s">
        <v>473</v>
      </c>
      <c r="B83" s="22">
        <f>G83</f>
        <v>0</v>
      </c>
      <c r="C83" s="22">
        <f>SUM(H83:S83)</f>
        <v>20841600</v>
      </c>
      <c r="D83" s="22">
        <f>SUM(T83:AE83)</f>
        <v>31262400</v>
      </c>
      <c r="E83" s="22">
        <f>SUM(AF83:AQ83)</f>
        <v>31262400</v>
      </c>
      <c r="F83" s="22">
        <f>SUM(B83:E83)</f>
        <v>83366400</v>
      </c>
      <c r="G83" s="22">
        <f>(IF(G$4&lt;Hypothèses!$B$59,0,Hypothèses!$B$58*Hypothèses!$B$61*Hypothèses!$B$47*IF(G$4=Hypothèses!$B$59,0.5,1)))*Hypothèses!$B$94+G93</f>
        <v>0</v>
      </c>
      <c r="H83" s="22">
        <f>(IF(H$4&lt;Hypothèses!$B$59,0,Hypothèses!$B$58*Hypothèses!$B$61*Hypothèses!$B$47*IF(H$4=Hypothèses!$B$59,0.5,1)))*Hypothèses!$B$94+H93</f>
        <v>651300</v>
      </c>
      <c r="I83" s="22">
        <f>(IF(I$4&lt;Hypothèses!$B$59,0,Hypothèses!$B$58*Hypothèses!$B$61*Hypothèses!$B$47*IF(I$4=Hypothèses!$B$59,0.5,1)))*Hypothèses!$B$94+I93</f>
        <v>1302600</v>
      </c>
      <c r="J83" s="22">
        <f>(IF(J$4&lt;Hypothèses!$B$59,0,Hypothèses!$B$58*Hypothèses!$B$61*Hypothèses!$B$47*IF(J$4=Hypothèses!$B$59,0.5,1)))*Hypothèses!$B$94+J93</f>
        <v>1302600</v>
      </c>
      <c r="K83" s="22">
        <f>(IF(K$4&lt;Hypothèses!$B$59,0,Hypothèses!$B$58*Hypothèses!$B$61*Hypothèses!$B$47*IF(K$4=Hypothèses!$B$59,0.5,1)))*Hypothèses!$B$94+K93</f>
        <v>1302600</v>
      </c>
      <c r="L83" s="22">
        <f>(IF(L$4&lt;Hypothèses!$B$59,0,Hypothèses!$B$58*Hypothèses!$B$61*Hypothèses!$B$47*IF(L$4=Hypothèses!$B$59,0.5,1)))*Hypothèses!$B$94+L93</f>
        <v>1519700</v>
      </c>
      <c r="M83" s="22">
        <f>(IF(M$4&lt;Hypothèses!$B$59,0,Hypothèses!$B$58*Hypothèses!$B$61*Hypothèses!$B$47*IF(M$4=Hypothèses!$B$59,0.5,1)))*Hypothèses!$B$94+M93</f>
        <v>1736800</v>
      </c>
      <c r="N83" s="22">
        <f>(IF(N$4&lt;Hypothèses!$B$59,0,Hypothèses!$B$58*Hypothèses!$B$61*Hypothèses!$B$47*IF(N$4=Hypothèses!$B$59,0.5,1)))*Hypothèses!$B$94+N93</f>
        <v>1736800</v>
      </c>
      <c r="O83" s="22">
        <f>(IF(O$4&lt;Hypothèses!$B$59,0,Hypothèses!$B$58*Hypothèses!$B$61*Hypothèses!$B$47*IF(O$4=Hypothèses!$B$59,0.5,1)))*Hypothèses!$B$94+O93</f>
        <v>1953900</v>
      </c>
      <c r="P83" s="22">
        <f>(IF(P$4&lt;Hypothèses!$B$59,0,Hypothèses!$B$58*Hypothèses!$B$61*Hypothèses!$B$47*IF(P$4=Hypothèses!$B$59,0.5,1)))*Hypothèses!$B$94+P93</f>
        <v>2171000</v>
      </c>
      <c r="Q83" s="22">
        <f>(IF(Q$4&lt;Hypothèses!$B$59,0,Hypothèses!$B$58*Hypothèses!$B$61*Hypothèses!$B$47*IF(Q$4=Hypothèses!$B$59,0.5,1)))*Hypothèses!$B$94+Q93</f>
        <v>2171000</v>
      </c>
      <c r="R83" s="22">
        <f>(IF(R$4&lt;Hypothèses!$B$59,0,Hypothèses!$B$58*Hypothèses!$B$61*Hypothèses!$B$47*IF(R$4=Hypothèses!$B$59,0.5,1)))*Hypothèses!$B$94+R93</f>
        <v>2388100</v>
      </c>
      <c r="S83" s="22">
        <f>(IF(S$4&lt;Hypothèses!$B$59,0,Hypothèses!$B$58*Hypothèses!$B$61*Hypothèses!$B$47*IF(S$4=Hypothèses!$B$59,0.5,1)))*Hypothèses!$B$94+S93</f>
        <v>2605200</v>
      </c>
      <c r="T83" s="22">
        <f>(IF(T$4&lt;Hypothèses!$B$59,0,Hypothèses!$B$58*Hypothèses!$B$61*Hypothèses!$B$47*IF(T$4=Hypothèses!$B$59,0.5,1)))*Hypothèses!$B$94+T93</f>
        <v>2605200</v>
      </c>
      <c r="U83" s="22">
        <f>(IF(U$4&lt;Hypothèses!$B$59,0,Hypothèses!$B$58*Hypothèses!$B$61*Hypothèses!$B$47*IF(U$4=Hypothèses!$B$59,0.5,1)))*Hypothèses!$B$94+U93</f>
        <v>2605200</v>
      </c>
      <c r="V83" s="22">
        <f>(IF(V$4&lt;Hypothèses!$B$59,0,Hypothèses!$B$58*Hypothèses!$B$61*Hypothèses!$B$47*IF(V$4=Hypothèses!$B$59,0.5,1)))*Hypothèses!$B$94+V93</f>
        <v>2605200</v>
      </c>
      <c r="W83" s="22">
        <f>(IF(W$4&lt;Hypothèses!$B$59,0,Hypothèses!$B$58*Hypothèses!$B$61*Hypothèses!$B$47*IF(W$4=Hypothèses!$B$59,0.5,1)))*Hypothèses!$B$94+W93</f>
        <v>2605200</v>
      </c>
      <c r="X83" s="22">
        <f>(IF(X$4&lt;Hypothèses!$B$59,0,Hypothèses!$B$58*Hypothèses!$B$61*Hypothèses!$B$47*IF(X$4=Hypothèses!$B$59,0.5,1)))*Hypothèses!$B$94+X93</f>
        <v>2605200</v>
      </c>
      <c r="Y83" s="22">
        <f>(IF(Y$4&lt;Hypothèses!$B$59,0,Hypothèses!$B$58*Hypothèses!$B$61*Hypothèses!$B$47*IF(Y$4=Hypothèses!$B$59,0.5,1)))*Hypothèses!$B$94+Y93</f>
        <v>2605200</v>
      </c>
      <c r="Z83" s="22">
        <f>(IF(Z$4&lt;Hypothèses!$B$59,0,Hypothèses!$B$58*Hypothèses!$B$61*Hypothèses!$B$47*IF(Z$4=Hypothèses!$B$59,0.5,1)))*Hypothèses!$B$94+Z93</f>
        <v>2605200</v>
      </c>
      <c r="AA83" s="22">
        <f>(IF(AA$4&lt;Hypothèses!$B$59,0,Hypothèses!$B$58*Hypothèses!$B$61*Hypothèses!$B$47*IF(AA$4=Hypothèses!$B$59,0.5,1)))*Hypothèses!$B$94+AA93</f>
        <v>2605200</v>
      </c>
      <c r="AB83" s="22">
        <f>(IF(AB$4&lt;Hypothèses!$B$59,0,Hypothèses!$B$58*Hypothèses!$B$61*Hypothèses!$B$47*IF(AB$4=Hypothèses!$B$59,0.5,1)))*Hypothèses!$B$94+AB93</f>
        <v>2605200</v>
      </c>
      <c r="AC83" s="22">
        <f>(IF(AC$4&lt;Hypothèses!$B$59,0,Hypothèses!$B$58*Hypothèses!$B$61*Hypothèses!$B$47*IF(AC$4=Hypothèses!$B$59,0.5,1)))*Hypothèses!$B$94+AC93</f>
        <v>2605200</v>
      </c>
      <c r="AD83" s="22">
        <f>(IF(AD$4&lt;Hypothèses!$B$59,0,Hypothèses!$B$58*Hypothèses!$B$61*Hypothèses!$B$47*IF(AD$4=Hypothèses!$B$59,0.5,1)))*Hypothèses!$B$94+AD93</f>
        <v>2605200</v>
      </c>
      <c r="AE83" s="22">
        <f>(IF(AE$4&lt;Hypothèses!$B$59,0,Hypothèses!$B$58*Hypothèses!$B$61*Hypothèses!$B$47*IF(AE$4=Hypothèses!$B$59,0.5,1)))*Hypothèses!$B$94+AE93</f>
        <v>2605200</v>
      </c>
      <c r="AF83" s="22">
        <f>(IF(AF$4&lt;Hypothèses!$B$59,0,Hypothèses!$B$58*Hypothèses!$B$61*Hypothèses!$B$47*IF(AF$4=Hypothèses!$B$59,0.5,1)))*Hypothèses!$B$94+AF93</f>
        <v>2605200</v>
      </c>
      <c r="AG83" s="22">
        <f>(IF(AG$4&lt;Hypothèses!$B$59,0,Hypothèses!$B$58*Hypothèses!$B$61*Hypothèses!$B$47*IF(AG$4=Hypothèses!$B$59,0.5,1)))*Hypothèses!$B$94+AG93</f>
        <v>2605200</v>
      </c>
      <c r="AH83" s="22">
        <f>(IF(AH$4&lt;Hypothèses!$B$59,0,Hypothèses!$B$58*Hypothèses!$B$61*Hypothèses!$B$47*IF(AH$4=Hypothèses!$B$59,0.5,1)))*Hypothèses!$B$94+AH93</f>
        <v>2605200</v>
      </c>
      <c r="AI83" s="22">
        <f>(IF(AI$4&lt;Hypothèses!$B$59,0,Hypothèses!$B$58*Hypothèses!$B$61*Hypothèses!$B$47*IF(AI$4=Hypothèses!$B$59,0.5,1)))*Hypothèses!$B$94+AI93</f>
        <v>2605200</v>
      </c>
      <c r="AJ83" s="22">
        <f>(IF(AJ$4&lt;Hypothèses!$B$59,0,Hypothèses!$B$58*Hypothèses!$B$61*Hypothèses!$B$47*IF(AJ$4=Hypothèses!$B$59,0.5,1)))*Hypothèses!$B$94+AJ93</f>
        <v>2605200</v>
      </c>
      <c r="AK83" s="22">
        <f>(IF(AK$4&lt;Hypothèses!$B$59,0,Hypothèses!$B$58*Hypothèses!$B$61*Hypothèses!$B$47*IF(AK$4=Hypothèses!$B$59,0.5,1)))*Hypothèses!$B$94+AK93</f>
        <v>2605200</v>
      </c>
      <c r="AL83" s="22">
        <f>(IF(AL$4&lt;Hypothèses!$B$59,0,Hypothèses!$B$58*Hypothèses!$B$61*Hypothèses!$B$47*IF(AL$4=Hypothèses!$B$59,0.5,1)))*Hypothèses!$B$94+AL93</f>
        <v>2605200</v>
      </c>
      <c r="AM83" s="22">
        <f>(IF(AM$4&lt;Hypothèses!$B$59,0,Hypothèses!$B$58*Hypothèses!$B$61*Hypothèses!$B$47*IF(AM$4=Hypothèses!$B$59,0.5,1)))*Hypothèses!$B$94+AM93</f>
        <v>2605200</v>
      </c>
      <c r="AN83" s="22">
        <f>(IF(AN$4&lt;Hypothèses!$B$59,0,Hypothèses!$B$58*Hypothèses!$B$61*Hypothèses!$B$47*IF(AN$4=Hypothèses!$B$59,0.5,1)))*Hypothèses!$B$94+AN93</f>
        <v>2605200</v>
      </c>
      <c r="AO83" s="22">
        <f>(IF(AO$4&lt;Hypothèses!$B$59,0,Hypothèses!$B$58*Hypothèses!$B$61*Hypothèses!$B$47*IF(AO$4=Hypothèses!$B$59,0.5,1)))*Hypothèses!$B$94+AO93</f>
        <v>2605200</v>
      </c>
      <c r="AP83" s="22">
        <f>(IF(AP$4&lt;Hypothèses!$B$59,0,Hypothèses!$B$58*Hypothèses!$B$61*Hypothèses!$B$47*IF(AP$4=Hypothèses!$B$59,0.5,1)))*Hypothèses!$B$94+AP93</f>
        <v>2605200</v>
      </c>
      <c r="AQ83" s="22">
        <f>(IF(AQ$4&lt;Hypothèses!$B$59,0,Hypothèses!$B$58*Hypothèses!$B$61*Hypothèses!$B$47*IF(AQ$4=Hypothèses!$B$59,0.5,1)))*Hypothèses!$B$94+AQ93</f>
        <v>2605200</v>
      </c>
    </row>
    <row r="84" spans="1:43" x14ac:dyDescent="0.3">
      <c r="A84" s="10" t="s">
        <v>474</v>
      </c>
      <c r="B84" s="24">
        <f>G84</f>
        <v>0</v>
      </c>
      <c r="C84" s="24">
        <f>SUM(H84:S84)</f>
        <v>61963850</v>
      </c>
      <c r="D84" s="24">
        <f>SUM(T84:AE84)</f>
        <v>81978000</v>
      </c>
      <c r="E84" s="24">
        <f>SUM(AF84:AQ84)</f>
        <v>81978000</v>
      </c>
      <c r="F84" s="24">
        <f>SUM(B84:E84)</f>
        <v>225919850</v>
      </c>
      <c r="G84" s="24">
        <f t="shared" ref="G84:AQ84" si="29">SUM(G80:G83)</f>
        <v>0</v>
      </c>
      <c r="H84" s="24">
        <f t="shared" si="29"/>
        <v>2230150</v>
      </c>
      <c r="I84" s="24">
        <f t="shared" si="29"/>
        <v>4460300</v>
      </c>
      <c r="J84" s="24">
        <f t="shared" si="29"/>
        <v>4460300</v>
      </c>
      <c r="K84" s="24">
        <f t="shared" si="29"/>
        <v>4460300</v>
      </c>
      <c r="L84" s="24">
        <f t="shared" si="29"/>
        <v>4855500</v>
      </c>
      <c r="M84" s="24">
        <f t="shared" si="29"/>
        <v>5250700</v>
      </c>
      <c r="N84" s="24">
        <f t="shared" si="29"/>
        <v>5250700</v>
      </c>
      <c r="O84" s="24">
        <f t="shared" si="29"/>
        <v>5645900</v>
      </c>
      <c r="P84" s="24">
        <f t="shared" si="29"/>
        <v>6041100</v>
      </c>
      <c r="Q84" s="24">
        <f t="shared" si="29"/>
        <v>6041100</v>
      </c>
      <c r="R84" s="24">
        <f t="shared" si="29"/>
        <v>6436300</v>
      </c>
      <c r="S84" s="24">
        <f t="shared" si="29"/>
        <v>6831500</v>
      </c>
      <c r="T84" s="24">
        <f t="shared" si="29"/>
        <v>6831500</v>
      </c>
      <c r="U84" s="24">
        <f t="shared" si="29"/>
        <v>6831500</v>
      </c>
      <c r="V84" s="24">
        <f t="shared" si="29"/>
        <v>6831500</v>
      </c>
      <c r="W84" s="24">
        <f t="shared" si="29"/>
        <v>6831500</v>
      </c>
      <c r="X84" s="24">
        <f t="shared" si="29"/>
        <v>6831500</v>
      </c>
      <c r="Y84" s="24">
        <f t="shared" si="29"/>
        <v>6831500</v>
      </c>
      <c r="Z84" s="24">
        <f t="shared" si="29"/>
        <v>6831500</v>
      </c>
      <c r="AA84" s="24">
        <f t="shared" si="29"/>
        <v>6831500</v>
      </c>
      <c r="AB84" s="24">
        <f t="shared" si="29"/>
        <v>6831500</v>
      </c>
      <c r="AC84" s="24">
        <f t="shared" si="29"/>
        <v>6831500</v>
      </c>
      <c r="AD84" s="24">
        <f t="shared" si="29"/>
        <v>6831500</v>
      </c>
      <c r="AE84" s="24">
        <f t="shared" si="29"/>
        <v>6831500</v>
      </c>
      <c r="AF84" s="24">
        <f t="shared" si="29"/>
        <v>6831500</v>
      </c>
      <c r="AG84" s="24">
        <f t="shared" si="29"/>
        <v>6831500</v>
      </c>
      <c r="AH84" s="24">
        <f t="shared" si="29"/>
        <v>6831500</v>
      </c>
      <c r="AI84" s="24">
        <f t="shared" si="29"/>
        <v>6831500</v>
      </c>
      <c r="AJ84" s="24">
        <f t="shared" si="29"/>
        <v>6831500</v>
      </c>
      <c r="AK84" s="24">
        <f t="shared" si="29"/>
        <v>6831500</v>
      </c>
      <c r="AL84" s="24">
        <f t="shared" si="29"/>
        <v>6831500</v>
      </c>
      <c r="AM84" s="24">
        <f t="shared" si="29"/>
        <v>6831500</v>
      </c>
      <c r="AN84" s="24">
        <f t="shared" si="29"/>
        <v>6831500</v>
      </c>
      <c r="AO84" s="24">
        <f t="shared" si="29"/>
        <v>6831500</v>
      </c>
      <c r="AP84" s="24">
        <f t="shared" si="29"/>
        <v>6831500</v>
      </c>
      <c r="AQ84" s="24">
        <f t="shared" si="29"/>
        <v>6831500</v>
      </c>
    </row>
    <row r="86" spans="1:43" x14ac:dyDescent="0.3">
      <c r="A86" s="4" t="s">
        <v>475</v>
      </c>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spans="1:43" x14ac:dyDescent="0.3">
      <c r="A87" s="6" t="s">
        <v>476</v>
      </c>
      <c r="B87" s="22">
        <f t="shared" ref="B87:B96" si="30">G87</f>
        <v>0</v>
      </c>
      <c r="C87" s="22">
        <f t="shared" ref="C87:C96" si="31">SUM(H87:S87)</f>
        <v>15</v>
      </c>
      <c r="D87" s="22">
        <f t="shared" ref="D87:D96" si="32">SUM(T87:AE87)</f>
        <v>36</v>
      </c>
      <c r="E87" s="22">
        <f t="shared" ref="E87:E96" si="33">SUM(AF87:AQ87)</f>
        <v>36</v>
      </c>
      <c r="F87" s="22">
        <f t="shared" ref="F87:F96" si="34">SUM(B87:E87)</f>
        <v>87</v>
      </c>
      <c r="G87" s="29">
        <f>0</f>
        <v>0</v>
      </c>
      <c r="H87" s="29">
        <f>ROUND(Hypothèses!$B$95*MAX(0,MIN(1,(H$4-Hypothèses!$B$99+1)/(Hypothèses!$B$100-Hypothèses!$B$99+1))),0)</f>
        <v>0</v>
      </c>
      <c r="I87" s="29">
        <f>ROUND(Hypothèses!$B$95*MAX(0,MIN(1,(I$4-Hypothèses!$B$99+1)/(Hypothèses!$B$100-Hypothèses!$B$99+1))),0)</f>
        <v>0</v>
      </c>
      <c r="J87" s="29">
        <f>ROUND(Hypothèses!$B$95*MAX(0,MIN(1,(J$4-Hypothèses!$B$99+1)/(Hypothèses!$B$100-Hypothèses!$B$99+1))),0)</f>
        <v>0</v>
      </c>
      <c r="K87" s="29">
        <f>ROUND(Hypothèses!$B$95*MAX(0,MIN(1,(K$4-Hypothèses!$B$99+1)/(Hypothèses!$B$100-Hypothèses!$B$99+1))),0)</f>
        <v>0</v>
      </c>
      <c r="L87" s="29">
        <f>ROUND(Hypothèses!$B$95*MAX(0,MIN(1,(L$4-Hypothèses!$B$99+1)/(Hypothèses!$B$100-Hypothèses!$B$99+1))),0)</f>
        <v>1</v>
      </c>
      <c r="M87" s="29">
        <f>ROUND(Hypothèses!$B$95*MAX(0,MIN(1,(M$4-Hypothèses!$B$99+1)/(Hypothèses!$B$100-Hypothèses!$B$99+1))),0)</f>
        <v>1</v>
      </c>
      <c r="N87" s="29">
        <f>ROUND(Hypothèses!$B$95*MAX(0,MIN(1,(N$4-Hypothèses!$B$99+1)/(Hypothèses!$B$100-Hypothèses!$B$99+1))),0)</f>
        <v>1</v>
      </c>
      <c r="O87" s="29">
        <f>ROUND(Hypothèses!$B$95*MAX(0,MIN(1,(O$4-Hypothèses!$B$99+1)/(Hypothèses!$B$100-Hypothèses!$B$99+1))),0)</f>
        <v>2</v>
      </c>
      <c r="P87" s="29">
        <f>ROUND(Hypothèses!$B$95*MAX(0,MIN(1,(P$4-Hypothèses!$B$99+1)/(Hypothèses!$B$100-Hypothèses!$B$99+1))),0)</f>
        <v>2</v>
      </c>
      <c r="Q87" s="29">
        <f>ROUND(Hypothèses!$B$95*MAX(0,MIN(1,(Q$4-Hypothèses!$B$99+1)/(Hypothèses!$B$100-Hypothèses!$B$99+1))),0)</f>
        <v>2</v>
      </c>
      <c r="R87" s="29">
        <f>ROUND(Hypothèses!$B$95*MAX(0,MIN(1,(R$4-Hypothèses!$B$99+1)/(Hypothèses!$B$100-Hypothèses!$B$99+1))),0)</f>
        <v>3</v>
      </c>
      <c r="S87" s="29">
        <f>ROUND(Hypothèses!$B$95*MAX(0,MIN(1,(S$4-Hypothèses!$B$99+1)/(Hypothèses!$B$100-Hypothèses!$B$99+1))),0)</f>
        <v>3</v>
      </c>
      <c r="T87" s="29">
        <f>ROUND(Hypothèses!$B$95*MAX(0,MIN(1,(T$4-Hypothèses!$B$99+1)/(Hypothèses!$B$100-Hypothèses!$B$99+1))),0)</f>
        <v>3</v>
      </c>
      <c r="U87" s="29">
        <f>ROUND(Hypothèses!$B$95*MAX(0,MIN(1,(U$4-Hypothèses!$B$99+1)/(Hypothèses!$B$100-Hypothèses!$B$99+1))),0)</f>
        <v>3</v>
      </c>
      <c r="V87" s="29">
        <f>ROUND(Hypothèses!$B$95*MAX(0,MIN(1,(V$4-Hypothèses!$B$99+1)/(Hypothèses!$B$100-Hypothèses!$B$99+1))),0)</f>
        <v>3</v>
      </c>
      <c r="W87" s="29">
        <f>ROUND(Hypothèses!$B$95*MAX(0,MIN(1,(W$4-Hypothèses!$B$99+1)/(Hypothèses!$B$100-Hypothèses!$B$99+1))),0)</f>
        <v>3</v>
      </c>
      <c r="X87" s="29">
        <f>ROUND(Hypothèses!$B$95*MAX(0,MIN(1,(X$4-Hypothèses!$B$99+1)/(Hypothèses!$B$100-Hypothèses!$B$99+1))),0)</f>
        <v>3</v>
      </c>
      <c r="Y87" s="29">
        <f>ROUND(Hypothèses!$B$95*MAX(0,MIN(1,(Y$4-Hypothèses!$B$99+1)/(Hypothèses!$B$100-Hypothèses!$B$99+1))),0)</f>
        <v>3</v>
      </c>
      <c r="Z87" s="29">
        <f>ROUND(Hypothèses!$B$95*MAX(0,MIN(1,(Z$4-Hypothèses!$B$99+1)/(Hypothèses!$B$100-Hypothèses!$B$99+1))),0)</f>
        <v>3</v>
      </c>
      <c r="AA87" s="29">
        <f>ROUND(Hypothèses!$B$95*MAX(0,MIN(1,(AA$4-Hypothèses!$B$99+1)/(Hypothèses!$B$100-Hypothèses!$B$99+1))),0)</f>
        <v>3</v>
      </c>
      <c r="AB87" s="29">
        <f>ROUND(Hypothèses!$B$95*MAX(0,MIN(1,(AB$4-Hypothèses!$B$99+1)/(Hypothèses!$B$100-Hypothèses!$B$99+1))),0)</f>
        <v>3</v>
      </c>
      <c r="AC87" s="29">
        <f>ROUND(Hypothèses!$B$95*MAX(0,MIN(1,(AC$4-Hypothèses!$B$99+1)/(Hypothèses!$B$100-Hypothèses!$B$99+1))),0)</f>
        <v>3</v>
      </c>
      <c r="AD87" s="29">
        <f>ROUND(Hypothèses!$B$95*MAX(0,MIN(1,(AD$4-Hypothèses!$B$99+1)/(Hypothèses!$B$100-Hypothèses!$B$99+1))),0)</f>
        <v>3</v>
      </c>
      <c r="AE87" s="29">
        <f>ROUND(Hypothèses!$B$95*MAX(0,MIN(1,(AE$4-Hypothèses!$B$99+1)/(Hypothèses!$B$100-Hypothèses!$B$99+1))),0)</f>
        <v>3</v>
      </c>
      <c r="AF87" s="29">
        <f>ROUND(Hypothèses!$B$95*MAX(0,MIN(1,(AF$4-Hypothèses!$B$99+1)/(Hypothèses!$B$100-Hypothèses!$B$99+1))),0)</f>
        <v>3</v>
      </c>
      <c r="AG87" s="29">
        <f>ROUND(Hypothèses!$B$95*MAX(0,MIN(1,(AG$4-Hypothèses!$B$99+1)/(Hypothèses!$B$100-Hypothèses!$B$99+1))),0)</f>
        <v>3</v>
      </c>
      <c r="AH87" s="29">
        <f>ROUND(Hypothèses!$B$95*MAX(0,MIN(1,(AH$4-Hypothèses!$B$99+1)/(Hypothèses!$B$100-Hypothèses!$B$99+1))),0)</f>
        <v>3</v>
      </c>
      <c r="AI87" s="29">
        <f>ROUND(Hypothèses!$B$95*MAX(0,MIN(1,(AI$4-Hypothèses!$B$99+1)/(Hypothèses!$B$100-Hypothèses!$B$99+1))),0)</f>
        <v>3</v>
      </c>
      <c r="AJ87" s="29">
        <f>ROUND(Hypothèses!$B$95*MAX(0,MIN(1,(AJ$4-Hypothèses!$B$99+1)/(Hypothèses!$B$100-Hypothèses!$B$99+1))),0)</f>
        <v>3</v>
      </c>
      <c r="AK87" s="29">
        <f>ROUND(Hypothèses!$B$95*MAX(0,MIN(1,(AK$4-Hypothèses!$B$99+1)/(Hypothèses!$B$100-Hypothèses!$B$99+1))),0)</f>
        <v>3</v>
      </c>
      <c r="AL87" s="29">
        <f>ROUND(Hypothèses!$B$95*MAX(0,MIN(1,(AL$4-Hypothèses!$B$99+1)/(Hypothèses!$B$100-Hypothèses!$B$99+1))),0)</f>
        <v>3</v>
      </c>
      <c r="AM87" s="29">
        <f>ROUND(Hypothèses!$B$95*MAX(0,MIN(1,(AM$4-Hypothèses!$B$99+1)/(Hypothèses!$B$100-Hypothèses!$B$99+1))),0)</f>
        <v>3</v>
      </c>
      <c r="AN87" s="29">
        <f>ROUND(Hypothèses!$B$95*MAX(0,MIN(1,(AN$4-Hypothèses!$B$99+1)/(Hypothèses!$B$100-Hypothèses!$B$99+1))),0)</f>
        <v>3</v>
      </c>
      <c r="AO87" s="29">
        <f>ROUND(Hypothèses!$B$95*MAX(0,MIN(1,(AO$4-Hypothèses!$B$99+1)/(Hypothèses!$B$100-Hypothèses!$B$99+1))),0)</f>
        <v>3</v>
      </c>
      <c r="AP87" s="29">
        <f>ROUND(Hypothèses!$B$95*MAX(0,MIN(1,(AP$4-Hypothèses!$B$99+1)/(Hypothèses!$B$100-Hypothèses!$B$99+1))),0)</f>
        <v>3</v>
      </c>
      <c r="AQ87" s="29">
        <f>ROUND(Hypothèses!$B$95*MAX(0,MIN(1,(AQ$4-Hypothèses!$B$99+1)/(Hypothèses!$B$100-Hypothèses!$B$99+1))),0)</f>
        <v>3</v>
      </c>
    </row>
    <row r="88" spans="1:43" x14ac:dyDescent="0.3">
      <c r="A88" s="6" t="s">
        <v>477</v>
      </c>
      <c r="B88" s="22">
        <f t="shared" si="30"/>
        <v>0</v>
      </c>
      <c r="C88" s="22">
        <f t="shared" si="31"/>
        <v>15</v>
      </c>
      <c r="D88" s="22">
        <f t="shared" si="32"/>
        <v>36</v>
      </c>
      <c r="E88" s="22">
        <f t="shared" si="33"/>
        <v>36</v>
      </c>
      <c r="F88" s="22">
        <f t="shared" si="34"/>
        <v>87</v>
      </c>
      <c r="G88" s="29">
        <f>0</f>
        <v>0</v>
      </c>
      <c r="H88" s="29">
        <f>ROUND(Hypothèses!$B$96*MAX(0,MIN(1,(H$4-Hypothèses!$B$99+1)/(Hypothèses!$B$100-Hypothèses!$B$99+1))),0)</f>
        <v>0</v>
      </c>
      <c r="I88" s="29">
        <f>ROUND(Hypothèses!$B$96*MAX(0,MIN(1,(I$4-Hypothèses!$B$99+1)/(Hypothèses!$B$100-Hypothèses!$B$99+1))),0)</f>
        <v>0</v>
      </c>
      <c r="J88" s="29">
        <f>ROUND(Hypothèses!$B$96*MAX(0,MIN(1,(J$4-Hypothèses!$B$99+1)/(Hypothèses!$B$100-Hypothèses!$B$99+1))),0)</f>
        <v>0</v>
      </c>
      <c r="K88" s="29">
        <f>ROUND(Hypothèses!$B$96*MAX(0,MIN(1,(K$4-Hypothèses!$B$99+1)/(Hypothèses!$B$100-Hypothèses!$B$99+1))),0)</f>
        <v>0</v>
      </c>
      <c r="L88" s="29">
        <f>ROUND(Hypothèses!$B$96*MAX(0,MIN(1,(L$4-Hypothèses!$B$99+1)/(Hypothèses!$B$100-Hypothèses!$B$99+1))),0)</f>
        <v>1</v>
      </c>
      <c r="M88" s="29">
        <f>ROUND(Hypothèses!$B$96*MAX(0,MIN(1,(M$4-Hypothèses!$B$99+1)/(Hypothèses!$B$100-Hypothèses!$B$99+1))),0)</f>
        <v>1</v>
      </c>
      <c r="N88" s="29">
        <f>ROUND(Hypothèses!$B$96*MAX(0,MIN(1,(N$4-Hypothèses!$B$99+1)/(Hypothèses!$B$100-Hypothèses!$B$99+1))),0)</f>
        <v>1</v>
      </c>
      <c r="O88" s="29">
        <f>ROUND(Hypothèses!$B$96*MAX(0,MIN(1,(O$4-Hypothèses!$B$99+1)/(Hypothèses!$B$100-Hypothèses!$B$99+1))),0)</f>
        <v>2</v>
      </c>
      <c r="P88" s="29">
        <f>ROUND(Hypothèses!$B$96*MAX(0,MIN(1,(P$4-Hypothèses!$B$99+1)/(Hypothèses!$B$100-Hypothèses!$B$99+1))),0)</f>
        <v>2</v>
      </c>
      <c r="Q88" s="29">
        <f>ROUND(Hypothèses!$B$96*MAX(0,MIN(1,(Q$4-Hypothèses!$B$99+1)/(Hypothèses!$B$100-Hypothèses!$B$99+1))),0)</f>
        <v>2</v>
      </c>
      <c r="R88" s="29">
        <f>ROUND(Hypothèses!$B$96*MAX(0,MIN(1,(R$4-Hypothèses!$B$99+1)/(Hypothèses!$B$100-Hypothèses!$B$99+1))),0)</f>
        <v>3</v>
      </c>
      <c r="S88" s="29">
        <f>ROUND(Hypothèses!$B$96*MAX(0,MIN(1,(S$4-Hypothèses!$B$99+1)/(Hypothèses!$B$100-Hypothèses!$B$99+1))),0)</f>
        <v>3</v>
      </c>
      <c r="T88" s="29">
        <f>ROUND(Hypothèses!$B$96*MAX(0,MIN(1,(T$4-Hypothèses!$B$99+1)/(Hypothèses!$B$100-Hypothèses!$B$99+1))),0)</f>
        <v>3</v>
      </c>
      <c r="U88" s="29">
        <f>ROUND(Hypothèses!$B$96*MAX(0,MIN(1,(U$4-Hypothèses!$B$99+1)/(Hypothèses!$B$100-Hypothèses!$B$99+1))),0)</f>
        <v>3</v>
      </c>
      <c r="V88" s="29">
        <f>ROUND(Hypothèses!$B$96*MAX(0,MIN(1,(V$4-Hypothèses!$B$99+1)/(Hypothèses!$B$100-Hypothèses!$B$99+1))),0)</f>
        <v>3</v>
      </c>
      <c r="W88" s="29">
        <f>ROUND(Hypothèses!$B$96*MAX(0,MIN(1,(W$4-Hypothèses!$B$99+1)/(Hypothèses!$B$100-Hypothèses!$B$99+1))),0)</f>
        <v>3</v>
      </c>
      <c r="X88" s="29">
        <f>ROUND(Hypothèses!$B$96*MAX(0,MIN(1,(X$4-Hypothèses!$B$99+1)/(Hypothèses!$B$100-Hypothèses!$B$99+1))),0)</f>
        <v>3</v>
      </c>
      <c r="Y88" s="29">
        <f>ROUND(Hypothèses!$B$96*MAX(0,MIN(1,(Y$4-Hypothèses!$B$99+1)/(Hypothèses!$B$100-Hypothèses!$B$99+1))),0)</f>
        <v>3</v>
      </c>
      <c r="Z88" s="29">
        <f>ROUND(Hypothèses!$B$96*MAX(0,MIN(1,(Z$4-Hypothèses!$B$99+1)/(Hypothèses!$B$100-Hypothèses!$B$99+1))),0)</f>
        <v>3</v>
      </c>
      <c r="AA88" s="29">
        <f>ROUND(Hypothèses!$B$96*MAX(0,MIN(1,(AA$4-Hypothèses!$B$99+1)/(Hypothèses!$B$100-Hypothèses!$B$99+1))),0)</f>
        <v>3</v>
      </c>
      <c r="AB88" s="29">
        <f>ROUND(Hypothèses!$B$96*MAX(0,MIN(1,(AB$4-Hypothèses!$B$99+1)/(Hypothèses!$B$100-Hypothèses!$B$99+1))),0)</f>
        <v>3</v>
      </c>
      <c r="AC88" s="29">
        <f>ROUND(Hypothèses!$B$96*MAX(0,MIN(1,(AC$4-Hypothèses!$B$99+1)/(Hypothèses!$B$100-Hypothèses!$B$99+1))),0)</f>
        <v>3</v>
      </c>
      <c r="AD88" s="29">
        <f>ROUND(Hypothèses!$B$96*MAX(0,MIN(1,(AD$4-Hypothèses!$B$99+1)/(Hypothèses!$B$100-Hypothèses!$B$99+1))),0)</f>
        <v>3</v>
      </c>
      <c r="AE88" s="29">
        <f>ROUND(Hypothèses!$B$96*MAX(0,MIN(1,(AE$4-Hypothèses!$B$99+1)/(Hypothèses!$B$100-Hypothèses!$B$99+1))),0)</f>
        <v>3</v>
      </c>
      <c r="AF88" s="29">
        <f>ROUND(Hypothèses!$B$96*MAX(0,MIN(1,(AF$4-Hypothèses!$B$99+1)/(Hypothèses!$B$100-Hypothèses!$B$99+1))),0)</f>
        <v>3</v>
      </c>
      <c r="AG88" s="29">
        <f>ROUND(Hypothèses!$B$96*MAX(0,MIN(1,(AG$4-Hypothèses!$B$99+1)/(Hypothèses!$B$100-Hypothèses!$B$99+1))),0)</f>
        <v>3</v>
      </c>
      <c r="AH88" s="29">
        <f>ROUND(Hypothèses!$B$96*MAX(0,MIN(1,(AH$4-Hypothèses!$B$99+1)/(Hypothèses!$B$100-Hypothèses!$B$99+1))),0)</f>
        <v>3</v>
      </c>
      <c r="AI88" s="29">
        <f>ROUND(Hypothèses!$B$96*MAX(0,MIN(1,(AI$4-Hypothèses!$B$99+1)/(Hypothèses!$B$100-Hypothèses!$B$99+1))),0)</f>
        <v>3</v>
      </c>
      <c r="AJ88" s="29">
        <f>ROUND(Hypothèses!$B$96*MAX(0,MIN(1,(AJ$4-Hypothèses!$B$99+1)/(Hypothèses!$B$100-Hypothèses!$B$99+1))),0)</f>
        <v>3</v>
      </c>
      <c r="AK88" s="29">
        <f>ROUND(Hypothèses!$B$96*MAX(0,MIN(1,(AK$4-Hypothèses!$B$99+1)/(Hypothèses!$B$100-Hypothèses!$B$99+1))),0)</f>
        <v>3</v>
      </c>
      <c r="AL88" s="29">
        <f>ROUND(Hypothèses!$B$96*MAX(0,MIN(1,(AL$4-Hypothèses!$B$99+1)/(Hypothèses!$B$100-Hypothèses!$B$99+1))),0)</f>
        <v>3</v>
      </c>
      <c r="AM88" s="29">
        <f>ROUND(Hypothèses!$B$96*MAX(0,MIN(1,(AM$4-Hypothèses!$B$99+1)/(Hypothèses!$B$100-Hypothèses!$B$99+1))),0)</f>
        <v>3</v>
      </c>
      <c r="AN88" s="29">
        <f>ROUND(Hypothèses!$B$96*MAX(0,MIN(1,(AN$4-Hypothèses!$B$99+1)/(Hypothèses!$B$100-Hypothèses!$B$99+1))),0)</f>
        <v>3</v>
      </c>
      <c r="AO88" s="29">
        <f>ROUND(Hypothèses!$B$96*MAX(0,MIN(1,(AO$4-Hypothèses!$B$99+1)/(Hypothèses!$B$100-Hypothèses!$B$99+1))),0)</f>
        <v>3</v>
      </c>
      <c r="AP88" s="29">
        <f>ROUND(Hypothèses!$B$96*MAX(0,MIN(1,(AP$4-Hypothèses!$B$99+1)/(Hypothèses!$B$100-Hypothèses!$B$99+1))),0)</f>
        <v>3</v>
      </c>
      <c r="AQ88" s="29">
        <f>ROUND(Hypothèses!$B$96*MAX(0,MIN(1,(AQ$4-Hypothèses!$B$99+1)/(Hypothèses!$B$100-Hypothèses!$B$99+1))),0)</f>
        <v>3</v>
      </c>
    </row>
    <row r="89" spans="1:43" x14ac:dyDescent="0.3">
      <c r="A89" s="6" t="s">
        <v>478</v>
      </c>
      <c r="B89" s="22">
        <f t="shared" si="30"/>
        <v>0</v>
      </c>
      <c r="C89" s="22">
        <f t="shared" si="31"/>
        <v>0</v>
      </c>
      <c r="D89" s="22">
        <f t="shared" si="32"/>
        <v>0</v>
      </c>
      <c r="E89" s="22">
        <f t="shared" si="33"/>
        <v>0</v>
      </c>
      <c r="F89" s="22">
        <f t="shared" si="34"/>
        <v>0</v>
      </c>
      <c r="G89" s="29">
        <f>0</f>
        <v>0</v>
      </c>
      <c r="H89" s="29">
        <f>ROUND(Hypothèses!$B$97*MAX(0,MIN(1,(H$4-Hypothèses!$B$99+1)/(Hypothèses!$B$100-Hypothèses!$B$99+1))),0)</f>
        <v>0</v>
      </c>
      <c r="I89" s="29">
        <f>ROUND(Hypothèses!$B$97*MAX(0,MIN(1,(I$4-Hypothèses!$B$99+1)/(Hypothèses!$B$100-Hypothèses!$B$99+1))),0)</f>
        <v>0</v>
      </c>
      <c r="J89" s="29">
        <f>ROUND(Hypothèses!$B$97*MAX(0,MIN(1,(J$4-Hypothèses!$B$99+1)/(Hypothèses!$B$100-Hypothèses!$B$99+1))),0)</f>
        <v>0</v>
      </c>
      <c r="K89" s="29">
        <f>ROUND(Hypothèses!$B$97*MAX(0,MIN(1,(K$4-Hypothèses!$B$99+1)/(Hypothèses!$B$100-Hypothèses!$B$99+1))),0)</f>
        <v>0</v>
      </c>
      <c r="L89" s="29">
        <f>ROUND(Hypothèses!$B$97*MAX(0,MIN(1,(L$4-Hypothèses!$B$99+1)/(Hypothèses!$B$100-Hypothèses!$B$99+1))),0)</f>
        <v>0</v>
      </c>
      <c r="M89" s="29">
        <f>ROUND(Hypothèses!$B$97*MAX(0,MIN(1,(M$4-Hypothèses!$B$99+1)/(Hypothèses!$B$100-Hypothèses!$B$99+1))),0)</f>
        <v>0</v>
      </c>
      <c r="N89" s="29">
        <f>ROUND(Hypothèses!$B$97*MAX(0,MIN(1,(N$4-Hypothèses!$B$99+1)/(Hypothèses!$B$100-Hypothèses!$B$99+1))),0)</f>
        <v>0</v>
      </c>
      <c r="O89" s="29">
        <f>ROUND(Hypothèses!$B$97*MAX(0,MIN(1,(O$4-Hypothèses!$B$99+1)/(Hypothèses!$B$100-Hypothèses!$B$99+1))),0)</f>
        <v>0</v>
      </c>
      <c r="P89" s="29">
        <f>ROUND(Hypothèses!$B$97*MAX(0,MIN(1,(P$4-Hypothèses!$B$99+1)/(Hypothèses!$B$100-Hypothèses!$B$99+1))),0)</f>
        <v>0</v>
      </c>
      <c r="Q89" s="29">
        <f>ROUND(Hypothèses!$B$97*MAX(0,MIN(1,(Q$4-Hypothèses!$B$99+1)/(Hypothèses!$B$100-Hypothèses!$B$99+1))),0)</f>
        <v>0</v>
      </c>
      <c r="R89" s="29">
        <f>ROUND(Hypothèses!$B$97*MAX(0,MIN(1,(R$4-Hypothèses!$B$99+1)/(Hypothèses!$B$100-Hypothèses!$B$99+1))),0)</f>
        <v>0</v>
      </c>
      <c r="S89" s="29">
        <f>ROUND(Hypothèses!$B$97*MAX(0,MIN(1,(S$4-Hypothèses!$B$99+1)/(Hypothèses!$B$100-Hypothèses!$B$99+1))),0)</f>
        <v>0</v>
      </c>
      <c r="T89" s="29">
        <f>ROUND(Hypothèses!$B$97*MAX(0,MIN(1,(T$4-Hypothèses!$B$99+1)/(Hypothèses!$B$100-Hypothèses!$B$99+1))),0)</f>
        <v>0</v>
      </c>
      <c r="U89" s="29">
        <f>ROUND(Hypothèses!$B$97*MAX(0,MIN(1,(U$4-Hypothèses!$B$99+1)/(Hypothèses!$B$100-Hypothèses!$B$99+1))),0)</f>
        <v>0</v>
      </c>
      <c r="V89" s="29">
        <f>ROUND(Hypothèses!$B$97*MAX(0,MIN(1,(V$4-Hypothèses!$B$99+1)/(Hypothèses!$B$100-Hypothèses!$B$99+1))),0)</f>
        <v>0</v>
      </c>
      <c r="W89" s="29">
        <f>ROUND(Hypothèses!$B$97*MAX(0,MIN(1,(W$4-Hypothèses!$B$99+1)/(Hypothèses!$B$100-Hypothèses!$B$99+1))),0)</f>
        <v>0</v>
      </c>
      <c r="X89" s="29">
        <f>ROUND(Hypothèses!$B$97*MAX(0,MIN(1,(X$4-Hypothèses!$B$99+1)/(Hypothèses!$B$100-Hypothèses!$B$99+1))),0)</f>
        <v>0</v>
      </c>
      <c r="Y89" s="29">
        <f>ROUND(Hypothèses!$B$97*MAX(0,MIN(1,(Y$4-Hypothèses!$B$99+1)/(Hypothèses!$B$100-Hypothèses!$B$99+1))),0)</f>
        <v>0</v>
      </c>
      <c r="Z89" s="29">
        <f>ROUND(Hypothèses!$B$97*MAX(0,MIN(1,(Z$4-Hypothèses!$B$99+1)/(Hypothèses!$B$100-Hypothèses!$B$99+1))),0)</f>
        <v>0</v>
      </c>
      <c r="AA89" s="29">
        <f>ROUND(Hypothèses!$B$97*MAX(0,MIN(1,(AA$4-Hypothèses!$B$99+1)/(Hypothèses!$B$100-Hypothèses!$B$99+1))),0)</f>
        <v>0</v>
      </c>
      <c r="AB89" s="29">
        <f>ROUND(Hypothèses!$B$97*MAX(0,MIN(1,(AB$4-Hypothèses!$B$99+1)/(Hypothèses!$B$100-Hypothèses!$B$99+1))),0)</f>
        <v>0</v>
      </c>
      <c r="AC89" s="29">
        <f>ROUND(Hypothèses!$B$97*MAX(0,MIN(1,(AC$4-Hypothèses!$B$99+1)/(Hypothèses!$B$100-Hypothèses!$B$99+1))),0)</f>
        <v>0</v>
      </c>
      <c r="AD89" s="29">
        <f>ROUND(Hypothèses!$B$97*MAX(0,MIN(1,(AD$4-Hypothèses!$B$99+1)/(Hypothèses!$B$100-Hypothèses!$B$99+1))),0)</f>
        <v>0</v>
      </c>
      <c r="AE89" s="29">
        <f>ROUND(Hypothèses!$B$97*MAX(0,MIN(1,(AE$4-Hypothèses!$B$99+1)/(Hypothèses!$B$100-Hypothèses!$B$99+1))),0)</f>
        <v>0</v>
      </c>
      <c r="AF89" s="29">
        <f>ROUND(Hypothèses!$B$97*MAX(0,MIN(1,(AF$4-Hypothèses!$B$99+1)/(Hypothèses!$B$100-Hypothèses!$B$99+1))),0)</f>
        <v>0</v>
      </c>
      <c r="AG89" s="29">
        <f>ROUND(Hypothèses!$B$97*MAX(0,MIN(1,(AG$4-Hypothèses!$B$99+1)/(Hypothèses!$B$100-Hypothèses!$B$99+1))),0)</f>
        <v>0</v>
      </c>
      <c r="AH89" s="29">
        <f>ROUND(Hypothèses!$B$97*MAX(0,MIN(1,(AH$4-Hypothèses!$B$99+1)/(Hypothèses!$B$100-Hypothèses!$B$99+1))),0)</f>
        <v>0</v>
      </c>
      <c r="AI89" s="29">
        <f>ROUND(Hypothèses!$B$97*MAX(0,MIN(1,(AI$4-Hypothèses!$B$99+1)/(Hypothèses!$B$100-Hypothèses!$B$99+1))),0)</f>
        <v>0</v>
      </c>
      <c r="AJ89" s="29">
        <f>ROUND(Hypothèses!$B$97*MAX(0,MIN(1,(AJ$4-Hypothèses!$B$99+1)/(Hypothèses!$B$100-Hypothèses!$B$99+1))),0)</f>
        <v>0</v>
      </c>
      <c r="AK89" s="29">
        <f>ROUND(Hypothèses!$B$97*MAX(0,MIN(1,(AK$4-Hypothèses!$B$99+1)/(Hypothèses!$B$100-Hypothèses!$B$99+1))),0)</f>
        <v>0</v>
      </c>
      <c r="AL89" s="29">
        <f>ROUND(Hypothèses!$B$97*MAX(0,MIN(1,(AL$4-Hypothèses!$B$99+1)/(Hypothèses!$B$100-Hypothèses!$B$99+1))),0)</f>
        <v>0</v>
      </c>
      <c r="AM89" s="29">
        <f>ROUND(Hypothèses!$B$97*MAX(0,MIN(1,(AM$4-Hypothèses!$B$99+1)/(Hypothèses!$B$100-Hypothèses!$B$99+1))),0)</f>
        <v>0</v>
      </c>
      <c r="AN89" s="29">
        <f>ROUND(Hypothèses!$B$97*MAX(0,MIN(1,(AN$4-Hypothèses!$B$99+1)/(Hypothèses!$B$100-Hypothèses!$B$99+1))),0)</f>
        <v>0</v>
      </c>
      <c r="AO89" s="29">
        <f>ROUND(Hypothèses!$B$97*MAX(0,MIN(1,(AO$4-Hypothèses!$B$99+1)/(Hypothèses!$B$100-Hypothèses!$B$99+1))),0)</f>
        <v>0</v>
      </c>
      <c r="AP89" s="29">
        <f>ROUND(Hypothèses!$B$97*MAX(0,MIN(1,(AP$4-Hypothèses!$B$99+1)/(Hypothèses!$B$100-Hypothèses!$B$99+1))),0)</f>
        <v>0</v>
      </c>
      <c r="AQ89" s="29">
        <f>ROUND(Hypothèses!$B$97*MAX(0,MIN(1,(AQ$4-Hypothèses!$B$99+1)/(Hypothèses!$B$100-Hypothèses!$B$99+1))),0)</f>
        <v>0</v>
      </c>
    </row>
    <row r="90" spans="1:43" x14ac:dyDescent="0.3">
      <c r="A90" s="6" t="s">
        <v>479</v>
      </c>
      <c r="B90" s="22">
        <f t="shared" si="30"/>
        <v>0</v>
      </c>
      <c r="C90" s="22">
        <f t="shared" si="31"/>
        <v>0</v>
      </c>
      <c r="D90" s="22">
        <f t="shared" si="32"/>
        <v>0</v>
      </c>
      <c r="E90" s="22">
        <f t="shared" si="33"/>
        <v>0</v>
      </c>
      <c r="F90" s="22">
        <f t="shared" si="34"/>
        <v>0</v>
      </c>
      <c r="G90" s="29">
        <f>0</f>
        <v>0</v>
      </c>
      <c r="H90" s="29">
        <f>ROUND(Hypothèses!$B$98*MAX(0,MIN(1,(H$4-Hypothèses!$B$99+1)/(Hypothèses!$B$100-Hypothèses!$B$99+1))),0)</f>
        <v>0</v>
      </c>
      <c r="I90" s="29">
        <f>ROUND(Hypothèses!$B$98*MAX(0,MIN(1,(I$4-Hypothèses!$B$99+1)/(Hypothèses!$B$100-Hypothèses!$B$99+1))),0)</f>
        <v>0</v>
      </c>
      <c r="J90" s="29">
        <f>ROUND(Hypothèses!$B$98*MAX(0,MIN(1,(J$4-Hypothèses!$B$99+1)/(Hypothèses!$B$100-Hypothèses!$B$99+1))),0)</f>
        <v>0</v>
      </c>
      <c r="K90" s="29">
        <f>ROUND(Hypothèses!$B$98*MAX(0,MIN(1,(K$4-Hypothèses!$B$99+1)/(Hypothèses!$B$100-Hypothèses!$B$99+1))),0)</f>
        <v>0</v>
      </c>
      <c r="L90" s="29">
        <f>ROUND(Hypothèses!$B$98*MAX(0,MIN(1,(L$4-Hypothèses!$B$99+1)/(Hypothèses!$B$100-Hypothèses!$B$99+1))),0)</f>
        <v>0</v>
      </c>
      <c r="M90" s="29">
        <f>ROUND(Hypothèses!$B$98*MAX(0,MIN(1,(M$4-Hypothèses!$B$99+1)/(Hypothèses!$B$100-Hypothèses!$B$99+1))),0)</f>
        <v>0</v>
      </c>
      <c r="N90" s="29">
        <f>ROUND(Hypothèses!$B$98*MAX(0,MIN(1,(N$4-Hypothèses!$B$99+1)/(Hypothèses!$B$100-Hypothèses!$B$99+1))),0)</f>
        <v>0</v>
      </c>
      <c r="O90" s="29">
        <f>ROUND(Hypothèses!$B$98*MAX(0,MIN(1,(O$4-Hypothèses!$B$99+1)/(Hypothèses!$B$100-Hypothèses!$B$99+1))),0)</f>
        <v>0</v>
      </c>
      <c r="P90" s="29">
        <f>ROUND(Hypothèses!$B$98*MAX(0,MIN(1,(P$4-Hypothèses!$B$99+1)/(Hypothèses!$B$100-Hypothèses!$B$99+1))),0)</f>
        <v>0</v>
      </c>
      <c r="Q90" s="29">
        <f>ROUND(Hypothèses!$B$98*MAX(0,MIN(1,(Q$4-Hypothèses!$B$99+1)/(Hypothèses!$B$100-Hypothèses!$B$99+1))),0)</f>
        <v>0</v>
      </c>
      <c r="R90" s="29">
        <f>ROUND(Hypothèses!$B$98*MAX(0,MIN(1,(R$4-Hypothèses!$B$99+1)/(Hypothèses!$B$100-Hypothèses!$B$99+1))),0)</f>
        <v>0</v>
      </c>
      <c r="S90" s="29">
        <f>ROUND(Hypothèses!$B$98*MAX(0,MIN(1,(S$4-Hypothèses!$B$99+1)/(Hypothèses!$B$100-Hypothèses!$B$99+1))),0)</f>
        <v>0</v>
      </c>
      <c r="T90" s="29">
        <f>ROUND(Hypothèses!$B$98*MAX(0,MIN(1,(T$4-Hypothèses!$B$99+1)/(Hypothèses!$B$100-Hypothèses!$B$99+1))),0)</f>
        <v>0</v>
      </c>
      <c r="U90" s="29">
        <f>ROUND(Hypothèses!$B$98*MAX(0,MIN(1,(U$4-Hypothèses!$B$99+1)/(Hypothèses!$B$100-Hypothèses!$B$99+1))),0)</f>
        <v>0</v>
      </c>
      <c r="V90" s="29">
        <f>ROUND(Hypothèses!$B$98*MAX(0,MIN(1,(V$4-Hypothèses!$B$99+1)/(Hypothèses!$B$100-Hypothèses!$B$99+1))),0)</f>
        <v>0</v>
      </c>
      <c r="W90" s="29">
        <f>ROUND(Hypothèses!$B$98*MAX(0,MIN(1,(W$4-Hypothèses!$B$99+1)/(Hypothèses!$B$100-Hypothèses!$B$99+1))),0)</f>
        <v>0</v>
      </c>
      <c r="X90" s="29">
        <f>ROUND(Hypothèses!$B$98*MAX(0,MIN(1,(X$4-Hypothèses!$B$99+1)/(Hypothèses!$B$100-Hypothèses!$B$99+1))),0)</f>
        <v>0</v>
      </c>
      <c r="Y90" s="29">
        <f>ROUND(Hypothèses!$B$98*MAX(0,MIN(1,(Y$4-Hypothèses!$B$99+1)/(Hypothèses!$B$100-Hypothèses!$B$99+1))),0)</f>
        <v>0</v>
      </c>
      <c r="Z90" s="29">
        <f>ROUND(Hypothèses!$B$98*MAX(0,MIN(1,(Z$4-Hypothèses!$B$99+1)/(Hypothèses!$B$100-Hypothèses!$B$99+1))),0)</f>
        <v>0</v>
      </c>
      <c r="AA90" s="29">
        <f>ROUND(Hypothèses!$B$98*MAX(0,MIN(1,(AA$4-Hypothèses!$B$99+1)/(Hypothèses!$B$100-Hypothèses!$B$99+1))),0)</f>
        <v>0</v>
      </c>
      <c r="AB90" s="29">
        <f>ROUND(Hypothèses!$B$98*MAX(0,MIN(1,(AB$4-Hypothèses!$B$99+1)/(Hypothèses!$B$100-Hypothèses!$B$99+1))),0)</f>
        <v>0</v>
      </c>
      <c r="AC90" s="29">
        <f>ROUND(Hypothèses!$B$98*MAX(0,MIN(1,(AC$4-Hypothèses!$B$99+1)/(Hypothèses!$B$100-Hypothèses!$B$99+1))),0)</f>
        <v>0</v>
      </c>
      <c r="AD90" s="29">
        <f>ROUND(Hypothèses!$B$98*MAX(0,MIN(1,(AD$4-Hypothèses!$B$99+1)/(Hypothèses!$B$100-Hypothèses!$B$99+1))),0)</f>
        <v>0</v>
      </c>
      <c r="AE90" s="29">
        <f>ROUND(Hypothèses!$B$98*MAX(0,MIN(1,(AE$4-Hypothèses!$B$99+1)/(Hypothèses!$B$100-Hypothèses!$B$99+1))),0)</f>
        <v>0</v>
      </c>
      <c r="AF90" s="29">
        <f>ROUND(Hypothèses!$B$98*MAX(0,MIN(1,(AF$4-Hypothèses!$B$99+1)/(Hypothèses!$B$100-Hypothèses!$B$99+1))),0)</f>
        <v>0</v>
      </c>
      <c r="AG90" s="29">
        <f>ROUND(Hypothèses!$B$98*MAX(0,MIN(1,(AG$4-Hypothèses!$B$99+1)/(Hypothèses!$B$100-Hypothèses!$B$99+1))),0)</f>
        <v>0</v>
      </c>
      <c r="AH90" s="29">
        <f>ROUND(Hypothèses!$B$98*MAX(0,MIN(1,(AH$4-Hypothèses!$B$99+1)/(Hypothèses!$B$100-Hypothèses!$B$99+1))),0)</f>
        <v>0</v>
      </c>
      <c r="AI90" s="29">
        <f>ROUND(Hypothèses!$B$98*MAX(0,MIN(1,(AI$4-Hypothèses!$B$99+1)/(Hypothèses!$B$100-Hypothèses!$B$99+1))),0)</f>
        <v>0</v>
      </c>
      <c r="AJ90" s="29">
        <f>ROUND(Hypothèses!$B$98*MAX(0,MIN(1,(AJ$4-Hypothèses!$B$99+1)/(Hypothèses!$B$100-Hypothèses!$B$99+1))),0)</f>
        <v>0</v>
      </c>
      <c r="AK90" s="29">
        <f>ROUND(Hypothèses!$B$98*MAX(0,MIN(1,(AK$4-Hypothèses!$B$99+1)/(Hypothèses!$B$100-Hypothèses!$B$99+1))),0)</f>
        <v>0</v>
      </c>
      <c r="AL90" s="29">
        <f>ROUND(Hypothèses!$B$98*MAX(0,MIN(1,(AL$4-Hypothèses!$B$99+1)/(Hypothèses!$B$100-Hypothèses!$B$99+1))),0)</f>
        <v>0</v>
      </c>
      <c r="AM90" s="29">
        <f>ROUND(Hypothèses!$B$98*MAX(0,MIN(1,(AM$4-Hypothèses!$B$99+1)/(Hypothèses!$B$100-Hypothèses!$B$99+1))),0)</f>
        <v>0</v>
      </c>
      <c r="AN90" s="29">
        <f>ROUND(Hypothèses!$B$98*MAX(0,MIN(1,(AN$4-Hypothèses!$B$99+1)/(Hypothèses!$B$100-Hypothèses!$B$99+1))),0)</f>
        <v>0</v>
      </c>
      <c r="AO90" s="29">
        <f>ROUND(Hypothèses!$B$98*MAX(0,MIN(1,(AO$4-Hypothèses!$B$99+1)/(Hypothèses!$B$100-Hypothèses!$B$99+1))),0)</f>
        <v>0</v>
      </c>
      <c r="AP90" s="29">
        <f>ROUND(Hypothèses!$B$98*MAX(0,MIN(1,(AP$4-Hypothèses!$B$99+1)/(Hypothèses!$B$100-Hypothèses!$B$99+1))),0)</f>
        <v>0</v>
      </c>
      <c r="AQ90" s="29">
        <f>ROUND(Hypothèses!$B$98*MAX(0,MIN(1,(AQ$4-Hypothèses!$B$99+1)/(Hypothèses!$B$100-Hypothèses!$B$99+1))),0)</f>
        <v>0</v>
      </c>
    </row>
    <row r="91" spans="1:43" x14ac:dyDescent="0.3">
      <c r="A91" s="6" t="s">
        <v>480</v>
      </c>
      <c r="B91" s="22">
        <f t="shared" si="30"/>
        <v>0</v>
      </c>
      <c r="C91" s="22">
        <f t="shared" si="31"/>
        <v>6</v>
      </c>
      <c r="D91" s="22">
        <f t="shared" si="32"/>
        <v>0</v>
      </c>
      <c r="E91" s="22">
        <f t="shared" si="33"/>
        <v>0</v>
      </c>
      <c r="F91" s="22">
        <f t="shared" si="34"/>
        <v>6</v>
      </c>
      <c r="G91" s="29">
        <f>0</f>
        <v>0</v>
      </c>
      <c r="H91" s="29">
        <f t="shared" ref="H91:AQ91" si="35">(H87-G87)+(H88-G88)+(H89-G89)+(H90-G90)</f>
        <v>0</v>
      </c>
      <c r="I91" s="29">
        <f t="shared" si="35"/>
        <v>0</v>
      </c>
      <c r="J91" s="29">
        <f t="shared" si="35"/>
        <v>0</v>
      </c>
      <c r="K91" s="29">
        <f t="shared" si="35"/>
        <v>0</v>
      </c>
      <c r="L91" s="29">
        <f t="shared" si="35"/>
        <v>2</v>
      </c>
      <c r="M91" s="29">
        <f t="shared" si="35"/>
        <v>0</v>
      </c>
      <c r="N91" s="29">
        <f t="shared" si="35"/>
        <v>0</v>
      </c>
      <c r="O91" s="29">
        <f t="shared" si="35"/>
        <v>2</v>
      </c>
      <c r="P91" s="29">
        <f t="shared" si="35"/>
        <v>0</v>
      </c>
      <c r="Q91" s="29">
        <f t="shared" si="35"/>
        <v>0</v>
      </c>
      <c r="R91" s="29">
        <f t="shared" si="35"/>
        <v>2</v>
      </c>
      <c r="S91" s="29">
        <f t="shared" si="35"/>
        <v>0</v>
      </c>
      <c r="T91" s="29">
        <f t="shared" si="35"/>
        <v>0</v>
      </c>
      <c r="U91" s="29">
        <f t="shared" si="35"/>
        <v>0</v>
      </c>
      <c r="V91" s="29">
        <f t="shared" si="35"/>
        <v>0</v>
      </c>
      <c r="W91" s="29">
        <f t="shared" si="35"/>
        <v>0</v>
      </c>
      <c r="X91" s="29">
        <f t="shared" si="35"/>
        <v>0</v>
      </c>
      <c r="Y91" s="29">
        <f t="shared" si="35"/>
        <v>0</v>
      </c>
      <c r="Z91" s="29">
        <f t="shared" si="35"/>
        <v>0</v>
      </c>
      <c r="AA91" s="29">
        <f t="shared" si="35"/>
        <v>0</v>
      </c>
      <c r="AB91" s="29">
        <f t="shared" si="35"/>
        <v>0</v>
      </c>
      <c r="AC91" s="29">
        <f t="shared" si="35"/>
        <v>0</v>
      </c>
      <c r="AD91" s="29">
        <f t="shared" si="35"/>
        <v>0</v>
      </c>
      <c r="AE91" s="29">
        <f t="shared" si="35"/>
        <v>0</v>
      </c>
      <c r="AF91" s="29">
        <f t="shared" si="35"/>
        <v>0</v>
      </c>
      <c r="AG91" s="29">
        <f t="shared" si="35"/>
        <v>0</v>
      </c>
      <c r="AH91" s="29">
        <f t="shared" si="35"/>
        <v>0</v>
      </c>
      <c r="AI91" s="29">
        <f t="shared" si="35"/>
        <v>0</v>
      </c>
      <c r="AJ91" s="29">
        <f t="shared" si="35"/>
        <v>0</v>
      </c>
      <c r="AK91" s="29">
        <f t="shared" si="35"/>
        <v>0</v>
      </c>
      <c r="AL91" s="29">
        <f t="shared" si="35"/>
        <v>0</v>
      </c>
      <c r="AM91" s="29">
        <f t="shared" si="35"/>
        <v>0</v>
      </c>
      <c r="AN91" s="29">
        <f t="shared" si="35"/>
        <v>0</v>
      </c>
      <c r="AO91" s="29">
        <f t="shared" si="35"/>
        <v>0</v>
      </c>
      <c r="AP91" s="29">
        <f t="shared" si="35"/>
        <v>0</v>
      </c>
      <c r="AQ91" s="29">
        <f t="shared" si="35"/>
        <v>0</v>
      </c>
    </row>
    <row r="92" spans="1:43" x14ac:dyDescent="0.3">
      <c r="A92" s="6" t="s">
        <v>481</v>
      </c>
      <c r="B92" s="22">
        <f t="shared" si="30"/>
        <v>0</v>
      </c>
      <c r="C92" s="22">
        <f t="shared" si="31"/>
        <v>4808700</v>
      </c>
      <c r="D92" s="22">
        <f t="shared" si="32"/>
        <v>12823200</v>
      </c>
      <c r="E92" s="22">
        <f t="shared" si="33"/>
        <v>12823200</v>
      </c>
      <c r="F92" s="22">
        <f t="shared" si="34"/>
        <v>30455100</v>
      </c>
      <c r="G92" s="22">
        <f>0</f>
        <v>0</v>
      </c>
      <c r="H92" s="22">
        <f>Hypothèses!$B$94*Hypothèses!$B$47*Hypothèses!$B$60*(H87-0.5*(H87-G87))</f>
        <v>0</v>
      </c>
      <c r="I92" s="22">
        <f>Hypothèses!$B$94*Hypothèses!$B$47*Hypothèses!$B$60*(I87-0.5*(I87-H87))</f>
        <v>0</v>
      </c>
      <c r="J92" s="22">
        <f>Hypothèses!$B$94*Hypothèses!$B$47*Hypothèses!$B$60*(J87-0.5*(J87-I87))</f>
        <v>0</v>
      </c>
      <c r="K92" s="22">
        <f>Hypothèses!$B$94*Hypothèses!$B$47*Hypothèses!$B$60*(K87-0.5*(K87-J87))</f>
        <v>0</v>
      </c>
      <c r="L92" s="22">
        <f>Hypothèses!$B$94*Hypothèses!$B$47*Hypothèses!$B$60*(L87-0.5*(L87-K87))</f>
        <v>178100</v>
      </c>
      <c r="M92" s="22">
        <f>Hypothèses!$B$94*Hypothèses!$B$47*Hypothèses!$B$60*(M87-0.5*(M87-L87))</f>
        <v>356200</v>
      </c>
      <c r="N92" s="22">
        <f>Hypothèses!$B$94*Hypothèses!$B$47*Hypothèses!$B$60*(N87-0.5*(N87-M87))</f>
        <v>356200</v>
      </c>
      <c r="O92" s="22">
        <f>Hypothèses!$B$94*Hypothèses!$B$47*Hypothèses!$B$60*(O87-0.5*(O87-N87))</f>
        <v>534300</v>
      </c>
      <c r="P92" s="22">
        <f>Hypothèses!$B$94*Hypothèses!$B$47*Hypothèses!$B$60*(P87-0.5*(P87-O87))</f>
        <v>712400</v>
      </c>
      <c r="Q92" s="22">
        <f>Hypothèses!$B$94*Hypothèses!$B$47*Hypothèses!$B$60*(Q87-0.5*(Q87-P87))</f>
        <v>712400</v>
      </c>
      <c r="R92" s="22">
        <f>Hypothèses!$B$94*Hypothèses!$B$47*Hypothèses!$B$60*(R87-0.5*(R87-Q87))</f>
        <v>890500</v>
      </c>
      <c r="S92" s="22">
        <f>Hypothèses!$B$94*Hypothèses!$B$47*Hypothèses!$B$60*(S87-0.5*(S87-R87))</f>
        <v>1068600</v>
      </c>
      <c r="T92" s="22">
        <f>Hypothèses!$B$94*Hypothèses!$B$47*Hypothèses!$B$60*(T87-0.5*(T87-S87))</f>
        <v>1068600</v>
      </c>
      <c r="U92" s="22">
        <f>Hypothèses!$B$94*Hypothèses!$B$47*Hypothèses!$B$60*(U87-0.5*(U87-T87))</f>
        <v>1068600</v>
      </c>
      <c r="V92" s="22">
        <f>Hypothèses!$B$94*Hypothèses!$B$47*Hypothèses!$B$60*(V87-0.5*(V87-U87))</f>
        <v>1068600</v>
      </c>
      <c r="W92" s="22">
        <f>Hypothèses!$B$94*Hypothèses!$B$47*Hypothèses!$B$60*(W87-0.5*(W87-V87))</f>
        <v>1068600</v>
      </c>
      <c r="X92" s="22">
        <f>Hypothèses!$B$94*Hypothèses!$B$47*Hypothèses!$B$60*(X87-0.5*(X87-W87))</f>
        <v>1068600</v>
      </c>
      <c r="Y92" s="22">
        <f>Hypothèses!$B$94*Hypothèses!$B$47*Hypothèses!$B$60*(Y87-0.5*(Y87-X87))</f>
        <v>1068600</v>
      </c>
      <c r="Z92" s="22">
        <f>Hypothèses!$B$94*Hypothèses!$B$47*Hypothèses!$B$60*(Z87-0.5*(Z87-Y87))</f>
        <v>1068600</v>
      </c>
      <c r="AA92" s="22">
        <f>Hypothèses!$B$94*Hypothèses!$B$47*Hypothèses!$B$60*(AA87-0.5*(AA87-Z87))</f>
        <v>1068600</v>
      </c>
      <c r="AB92" s="22">
        <f>Hypothèses!$B$94*Hypothèses!$B$47*Hypothèses!$B$60*(AB87-0.5*(AB87-AA87))</f>
        <v>1068600</v>
      </c>
      <c r="AC92" s="22">
        <f>Hypothèses!$B$94*Hypothèses!$B$47*Hypothèses!$B$60*(AC87-0.5*(AC87-AB87))</f>
        <v>1068600</v>
      </c>
      <c r="AD92" s="22">
        <f>Hypothèses!$B$94*Hypothèses!$B$47*Hypothèses!$B$60*(AD87-0.5*(AD87-AC87))</f>
        <v>1068600</v>
      </c>
      <c r="AE92" s="22">
        <f>Hypothèses!$B$94*Hypothèses!$B$47*Hypothèses!$B$60*(AE87-0.5*(AE87-AD87))</f>
        <v>1068600</v>
      </c>
      <c r="AF92" s="22">
        <f>Hypothèses!$B$94*Hypothèses!$B$47*Hypothèses!$B$60*(AF87-0.5*(AF87-AE87))</f>
        <v>1068600</v>
      </c>
      <c r="AG92" s="22">
        <f>Hypothèses!$B$94*Hypothèses!$B$47*Hypothèses!$B$60*(AG87-0.5*(AG87-AF87))</f>
        <v>1068600</v>
      </c>
      <c r="AH92" s="22">
        <f>Hypothèses!$B$94*Hypothèses!$B$47*Hypothèses!$B$60*(AH87-0.5*(AH87-AG87))</f>
        <v>1068600</v>
      </c>
      <c r="AI92" s="22">
        <f>Hypothèses!$B$94*Hypothèses!$B$47*Hypothèses!$B$60*(AI87-0.5*(AI87-AH87))</f>
        <v>1068600</v>
      </c>
      <c r="AJ92" s="22">
        <f>Hypothèses!$B$94*Hypothèses!$B$47*Hypothèses!$B$60*(AJ87-0.5*(AJ87-AI87))</f>
        <v>1068600</v>
      </c>
      <c r="AK92" s="22">
        <f>Hypothèses!$B$94*Hypothèses!$B$47*Hypothèses!$B$60*(AK87-0.5*(AK87-AJ87))</f>
        <v>1068600</v>
      </c>
      <c r="AL92" s="22">
        <f>Hypothèses!$B$94*Hypothèses!$B$47*Hypothèses!$B$60*(AL87-0.5*(AL87-AK87))</f>
        <v>1068600</v>
      </c>
      <c r="AM92" s="22">
        <f>Hypothèses!$B$94*Hypothèses!$B$47*Hypothèses!$B$60*(AM87-0.5*(AM87-AL87))</f>
        <v>1068600</v>
      </c>
      <c r="AN92" s="22">
        <f>Hypothèses!$B$94*Hypothèses!$B$47*Hypothèses!$B$60*(AN87-0.5*(AN87-AM87))</f>
        <v>1068600</v>
      </c>
      <c r="AO92" s="22">
        <f>Hypothèses!$B$94*Hypothèses!$B$47*Hypothèses!$B$60*(AO87-0.5*(AO87-AN87))</f>
        <v>1068600</v>
      </c>
      <c r="AP92" s="22">
        <f>Hypothèses!$B$94*Hypothèses!$B$47*Hypothèses!$B$60*(AP87-0.5*(AP87-AO87))</f>
        <v>1068600</v>
      </c>
      <c r="AQ92" s="22">
        <f>Hypothèses!$B$94*Hypothèses!$B$47*Hypothèses!$B$60*(AQ87-0.5*(AQ87-AP87))</f>
        <v>1068600</v>
      </c>
    </row>
    <row r="93" spans="1:43" x14ac:dyDescent="0.3">
      <c r="A93" s="6" t="s">
        <v>482</v>
      </c>
      <c r="B93" s="22">
        <f t="shared" si="30"/>
        <v>0</v>
      </c>
      <c r="C93" s="22">
        <f t="shared" si="31"/>
        <v>5861700</v>
      </c>
      <c r="D93" s="22">
        <f t="shared" si="32"/>
        <v>15631200</v>
      </c>
      <c r="E93" s="22">
        <f t="shared" si="33"/>
        <v>15631200</v>
      </c>
      <c r="F93" s="22">
        <f t="shared" si="34"/>
        <v>37124100</v>
      </c>
      <c r="G93" s="22">
        <f>0</f>
        <v>0</v>
      </c>
      <c r="H93" s="22">
        <f>Hypothèses!$B$94*Hypothèses!$B$47*Hypothèses!$B$61*(H88-0.5*(H88-G88))</f>
        <v>0</v>
      </c>
      <c r="I93" s="22">
        <f>Hypothèses!$B$94*Hypothèses!$B$47*Hypothèses!$B$61*(I88-0.5*(I88-H88))</f>
        <v>0</v>
      </c>
      <c r="J93" s="22">
        <f>Hypothèses!$B$94*Hypothèses!$B$47*Hypothèses!$B$61*(J88-0.5*(J88-I88))</f>
        <v>0</v>
      </c>
      <c r="K93" s="22">
        <f>Hypothèses!$B$94*Hypothèses!$B$47*Hypothèses!$B$61*(K88-0.5*(K88-J88))</f>
        <v>0</v>
      </c>
      <c r="L93" s="22">
        <f>Hypothèses!$B$94*Hypothèses!$B$47*Hypothèses!$B$61*(L88-0.5*(L88-K88))</f>
        <v>217100</v>
      </c>
      <c r="M93" s="22">
        <f>Hypothèses!$B$94*Hypothèses!$B$47*Hypothèses!$B$61*(M88-0.5*(M88-L88))</f>
        <v>434200</v>
      </c>
      <c r="N93" s="22">
        <f>Hypothèses!$B$94*Hypothèses!$B$47*Hypothèses!$B$61*(N88-0.5*(N88-M88))</f>
        <v>434200</v>
      </c>
      <c r="O93" s="22">
        <f>Hypothèses!$B$94*Hypothèses!$B$47*Hypothèses!$B$61*(O88-0.5*(O88-N88))</f>
        <v>651300</v>
      </c>
      <c r="P93" s="22">
        <f>Hypothèses!$B$94*Hypothèses!$B$47*Hypothèses!$B$61*(P88-0.5*(P88-O88))</f>
        <v>868400</v>
      </c>
      <c r="Q93" s="22">
        <f>Hypothèses!$B$94*Hypothèses!$B$47*Hypothèses!$B$61*(Q88-0.5*(Q88-P88))</f>
        <v>868400</v>
      </c>
      <c r="R93" s="22">
        <f>Hypothèses!$B$94*Hypothèses!$B$47*Hypothèses!$B$61*(R88-0.5*(R88-Q88))</f>
        <v>1085500</v>
      </c>
      <c r="S93" s="22">
        <f>Hypothèses!$B$94*Hypothèses!$B$47*Hypothèses!$B$61*(S88-0.5*(S88-R88))</f>
        <v>1302600</v>
      </c>
      <c r="T93" s="22">
        <f>Hypothèses!$B$94*Hypothèses!$B$47*Hypothèses!$B$61*(T88-0.5*(T88-S88))</f>
        <v>1302600</v>
      </c>
      <c r="U93" s="22">
        <f>Hypothèses!$B$94*Hypothèses!$B$47*Hypothèses!$B$61*(U88-0.5*(U88-T88))</f>
        <v>1302600</v>
      </c>
      <c r="V93" s="22">
        <f>Hypothèses!$B$94*Hypothèses!$B$47*Hypothèses!$B$61*(V88-0.5*(V88-U88))</f>
        <v>1302600</v>
      </c>
      <c r="W93" s="22">
        <f>Hypothèses!$B$94*Hypothèses!$B$47*Hypothèses!$B$61*(W88-0.5*(W88-V88))</f>
        <v>1302600</v>
      </c>
      <c r="X93" s="22">
        <f>Hypothèses!$B$94*Hypothèses!$B$47*Hypothèses!$B$61*(X88-0.5*(X88-W88))</f>
        <v>1302600</v>
      </c>
      <c r="Y93" s="22">
        <f>Hypothèses!$B$94*Hypothèses!$B$47*Hypothèses!$B$61*(Y88-0.5*(Y88-X88))</f>
        <v>1302600</v>
      </c>
      <c r="Z93" s="22">
        <f>Hypothèses!$B$94*Hypothèses!$B$47*Hypothèses!$B$61*(Z88-0.5*(Z88-Y88))</f>
        <v>1302600</v>
      </c>
      <c r="AA93" s="22">
        <f>Hypothèses!$B$94*Hypothèses!$B$47*Hypothèses!$B$61*(AA88-0.5*(AA88-Z88))</f>
        <v>1302600</v>
      </c>
      <c r="AB93" s="22">
        <f>Hypothèses!$B$94*Hypothèses!$B$47*Hypothèses!$B$61*(AB88-0.5*(AB88-AA88))</f>
        <v>1302600</v>
      </c>
      <c r="AC93" s="22">
        <f>Hypothèses!$B$94*Hypothèses!$B$47*Hypothèses!$B$61*(AC88-0.5*(AC88-AB88))</f>
        <v>1302600</v>
      </c>
      <c r="AD93" s="22">
        <f>Hypothèses!$B$94*Hypothèses!$B$47*Hypothèses!$B$61*(AD88-0.5*(AD88-AC88))</f>
        <v>1302600</v>
      </c>
      <c r="AE93" s="22">
        <f>Hypothèses!$B$94*Hypothèses!$B$47*Hypothèses!$B$61*(AE88-0.5*(AE88-AD88))</f>
        <v>1302600</v>
      </c>
      <c r="AF93" s="22">
        <f>Hypothèses!$B$94*Hypothèses!$B$47*Hypothèses!$B$61*(AF88-0.5*(AF88-AE88))</f>
        <v>1302600</v>
      </c>
      <c r="AG93" s="22">
        <f>Hypothèses!$B$94*Hypothèses!$B$47*Hypothèses!$B$61*(AG88-0.5*(AG88-AF88))</f>
        <v>1302600</v>
      </c>
      <c r="AH93" s="22">
        <f>Hypothèses!$B$94*Hypothèses!$B$47*Hypothèses!$B$61*(AH88-0.5*(AH88-AG88))</f>
        <v>1302600</v>
      </c>
      <c r="AI93" s="22">
        <f>Hypothèses!$B$94*Hypothèses!$B$47*Hypothèses!$B$61*(AI88-0.5*(AI88-AH88))</f>
        <v>1302600</v>
      </c>
      <c r="AJ93" s="22">
        <f>Hypothèses!$B$94*Hypothèses!$B$47*Hypothèses!$B$61*(AJ88-0.5*(AJ88-AI88))</f>
        <v>1302600</v>
      </c>
      <c r="AK93" s="22">
        <f>Hypothèses!$B$94*Hypothèses!$B$47*Hypothèses!$B$61*(AK88-0.5*(AK88-AJ88))</f>
        <v>1302600</v>
      </c>
      <c r="AL93" s="22">
        <f>Hypothèses!$B$94*Hypothèses!$B$47*Hypothèses!$B$61*(AL88-0.5*(AL88-AK88))</f>
        <v>1302600</v>
      </c>
      <c r="AM93" s="22">
        <f>Hypothèses!$B$94*Hypothèses!$B$47*Hypothèses!$B$61*(AM88-0.5*(AM88-AL88))</f>
        <v>1302600</v>
      </c>
      <c r="AN93" s="22">
        <f>Hypothèses!$B$94*Hypothèses!$B$47*Hypothèses!$B$61*(AN88-0.5*(AN88-AM88))</f>
        <v>1302600</v>
      </c>
      <c r="AO93" s="22">
        <f>Hypothèses!$B$94*Hypothèses!$B$47*Hypothèses!$B$61*(AO88-0.5*(AO88-AN88))</f>
        <v>1302600</v>
      </c>
      <c r="AP93" s="22">
        <f>Hypothèses!$B$94*Hypothèses!$B$47*Hypothèses!$B$61*(AP88-0.5*(AP88-AO88))</f>
        <v>1302600</v>
      </c>
      <c r="AQ93" s="22">
        <f>Hypothèses!$B$94*Hypothèses!$B$47*Hypothèses!$B$61*(AQ88-0.5*(AQ88-AP88))</f>
        <v>1302600</v>
      </c>
    </row>
    <row r="94" spans="1:43" x14ac:dyDescent="0.3">
      <c r="A94" s="6" t="s">
        <v>483</v>
      </c>
      <c r="B94" s="22">
        <f t="shared" si="30"/>
        <v>0</v>
      </c>
      <c r="C94" s="22">
        <f t="shared" si="31"/>
        <v>0</v>
      </c>
      <c r="D94" s="22">
        <f t="shared" si="32"/>
        <v>0</v>
      </c>
      <c r="E94" s="22">
        <f t="shared" si="33"/>
        <v>0</v>
      </c>
      <c r="F94" s="22">
        <f t="shared" si="34"/>
        <v>0</v>
      </c>
      <c r="G94" s="22">
        <f>0</f>
        <v>0</v>
      </c>
      <c r="H94" s="22">
        <f>Hypothèses!$B$94*Hypothèses!$B$47*Hypothèses!$B$45*(H89-0.5*(H89-G89))</f>
        <v>0</v>
      </c>
      <c r="I94" s="22">
        <f>Hypothèses!$B$94*Hypothèses!$B$47*Hypothèses!$B$45*(I89-0.5*(I89-H89))</f>
        <v>0</v>
      </c>
      <c r="J94" s="22">
        <f>Hypothèses!$B$94*Hypothèses!$B$47*Hypothèses!$B$45*(J89-0.5*(J89-I89))</f>
        <v>0</v>
      </c>
      <c r="K94" s="22">
        <f>Hypothèses!$B$94*Hypothèses!$B$47*Hypothèses!$B$45*(K89-0.5*(K89-J89))</f>
        <v>0</v>
      </c>
      <c r="L94" s="22">
        <f>Hypothèses!$B$94*Hypothèses!$B$47*Hypothèses!$B$45*(L89-0.5*(L89-K89))</f>
        <v>0</v>
      </c>
      <c r="M94" s="22">
        <f>Hypothèses!$B$94*Hypothèses!$B$47*Hypothèses!$B$45*(M89-0.5*(M89-L89))</f>
        <v>0</v>
      </c>
      <c r="N94" s="22">
        <f>Hypothèses!$B$94*Hypothèses!$B$47*Hypothèses!$B$45*(N89-0.5*(N89-M89))</f>
        <v>0</v>
      </c>
      <c r="O94" s="22">
        <f>Hypothèses!$B$94*Hypothèses!$B$47*Hypothèses!$B$45*(O89-0.5*(O89-N89))</f>
        <v>0</v>
      </c>
      <c r="P94" s="22">
        <f>Hypothèses!$B$94*Hypothèses!$B$47*Hypothèses!$B$45*(P89-0.5*(P89-O89))</f>
        <v>0</v>
      </c>
      <c r="Q94" s="22">
        <f>Hypothèses!$B$94*Hypothèses!$B$47*Hypothèses!$B$45*(Q89-0.5*(Q89-P89))</f>
        <v>0</v>
      </c>
      <c r="R94" s="22">
        <f>Hypothèses!$B$94*Hypothèses!$B$47*Hypothèses!$B$45*(R89-0.5*(R89-Q89))</f>
        <v>0</v>
      </c>
      <c r="S94" s="22">
        <f>Hypothèses!$B$94*Hypothèses!$B$47*Hypothèses!$B$45*(S89-0.5*(S89-R89))</f>
        <v>0</v>
      </c>
      <c r="T94" s="22">
        <f>Hypothèses!$B$94*Hypothèses!$B$47*Hypothèses!$B$45*(T89-0.5*(T89-S89))</f>
        <v>0</v>
      </c>
      <c r="U94" s="22">
        <f>Hypothèses!$B$94*Hypothèses!$B$47*Hypothèses!$B$45*(U89-0.5*(U89-T89))</f>
        <v>0</v>
      </c>
      <c r="V94" s="22">
        <f>Hypothèses!$B$94*Hypothèses!$B$47*Hypothèses!$B$45*(V89-0.5*(V89-U89))</f>
        <v>0</v>
      </c>
      <c r="W94" s="22">
        <f>Hypothèses!$B$94*Hypothèses!$B$47*Hypothèses!$B$45*(W89-0.5*(W89-V89))</f>
        <v>0</v>
      </c>
      <c r="X94" s="22">
        <f>Hypothèses!$B$94*Hypothèses!$B$47*Hypothèses!$B$45*(X89-0.5*(X89-W89))</f>
        <v>0</v>
      </c>
      <c r="Y94" s="22">
        <f>Hypothèses!$B$94*Hypothèses!$B$47*Hypothèses!$B$45*(Y89-0.5*(Y89-X89))</f>
        <v>0</v>
      </c>
      <c r="Z94" s="22">
        <f>Hypothèses!$B$94*Hypothèses!$B$47*Hypothèses!$B$45*(Z89-0.5*(Z89-Y89))</f>
        <v>0</v>
      </c>
      <c r="AA94" s="22">
        <f>Hypothèses!$B$94*Hypothèses!$B$47*Hypothèses!$B$45*(AA89-0.5*(AA89-Z89))</f>
        <v>0</v>
      </c>
      <c r="AB94" s="22">
        <f>Hypothèses!$B$94*Hypothèses!$B$47*Hypothèses!$B$45*(AB89-0.5*(AB89-AA89))</f>
        <v>0</v>
      </c>
      <c r="AC94" s="22">
        <f>Hypothèses!$B$94*Hypothèses!$B$47*Hypothèses!$B$45*(AC89-0.5*(AC89-AB89))</f>
        <v>0</v>
      </c>
      <c r="AD94" s="22">
        <f>Hypothèses!$B$94*Hypothèses!$B$47*Hypothèses!$B$45*(AD89-0.5*(AD89-AC89))</f>
        <v>0</v>
      </c>
      <c r="AE94" s="22">
        <f>Hypothèses!$B$94*Hypothèses!$B$47*Hypothèses!$B$45*(AE89-0.5*(AE89-AD89))</f>
        <v>0</v>
      </c>
      <c r="AF94" s="22">
        <f>Hypothèses!$B$94*Hypothèses!$B$47*Hypothèses!$B$45*(AF89-0.5*(AF89-AE89))</f>
        <v>0</v>
      </c>
      <c r="AG94" s="22">
        <f>Hypothèses!$B$94*Hypothèses!$B$47*Hypothèses!$B$45*(AG89-0.5*(AG89-AF89))</f>
        <v>0</v>
      </c>
      <c r="AH94" s="22">
        <f>Hypothèses!$B$94*Hypothèses!$B$47*Hypothèses!$B$45*(AH89-0.5*(AH89-AG89))</f>
        <v>0</v>
      </c>
      <c r="AI94" s="22">
        <f>Hypothèses!$B$94*Hypothèses!$B$47*Hypothèses!$B$45*(AI89-0.5*(AI89-AH89))</f>
        <v>0</v>
      </c>
      <c r="AJ94" s="22">
        <f>Hypothèses!$B$94*Hypothèses!$B$47*Hypothèses!$B$45*(AJ89-0.5*(AJ89-AI89))</f>
        <v>0</v>
      </c>
      <c r="AK94" s="22">
        <f>Hypothèses!$B$94*Hypothèses!$B$47*Hypothèses!$B$45*(AK89-0.5*(AK89-AJ89))</f>
        <v>0</v>
      </c>
      <c r="AL94" s="22">
        <f>Hypothèses!$B$94*Hypothèses!$B$47*Hypothèses!$B$45*(AL89-0.5*(AL89-AK89))</f>
        <v>0</v>
      </c>
      <c r="AM94" s="22">
        <f>Hypothèses!$B$94*Hypothèses!$B$47*Hypothèses!$B$45*(AM89-0.5*(AM89-AL89))</f>
        <v>0</v>
      </c>
      <c r="AN94" s="22">
        <f>Hypothèses!$B$94*Hypothèses!$B$47*Hypothèses!$B$45*(AN89-0.5*(AN89-AM89))</f>
        <v>0</v>
      </c>
      <c r="AO94" s="22">
        <f>Hypothèses!$B$94*Hypothèses!$B$47*Hypothèses!$B$45*(AO89-0.5*(AO89-AN89))</f>
        <v>0</v>
      </c>
      <c r="AP94" s="22">
        <f>Hypothèses!$B$94*Hypothèses!$B$47*Hypothèses!$B$45*(AP89-0.5*(AP89-AO89))</f>
        <v>0</v>
      </c>
      <c r="AQ94" s="22">
        <f>Hypothèses!$B$94*Hypothèses!$B$47*Hypothèses!$B$45*(AQ89-0.5*(AQ89-AP89))</f>
        <v>0</v>
      </c>
    </row>
    <row r="95" spans="1:43" x14ac:dyDescent="0.3">
      <c r="A95" s="6" t="s">
        <v>484</v>
      </c>
      <c r="B95" s="22">
        <f t="shared" si="30"/>
        <v>0</v>
      </c>
      <c r="C95" s="22">
        <f t="shared" si="31"/>
        <v>0</v>
      </c>
      <c r="D95" s="22">
        <f t="shared" si="32"/>
        <v>0</v>
      </c>
      <c r="E95" s="22">
        <f t="shared" si="33"/>
        <v>0</v>
      </c>
      <c r="F95" s="22">
        <f t="shared" si="34"/>
        <v>0</v>
      </c>
      <c r="G95" s="22">
        <f>0</f>
        <v>0</v>
      </c>
      <c r="H95" s="22">
        <f>Hypothèses!$B$94*Hypothèses!$B$47*Hypothèses!$B$46*(H90-0.5*(H90-G90))</f>
        <v>0</v>
      </c>
      <c r="I95" s="22">
        <f>Hypothèses!$B$94*Hypothèses!$B$47*Hypothèses!$B$46*(I90-0.5*(I90-H90))</f>
        <v>0</v>
      </c>
      <c r="J95" s="22">
        <f>Hypothèses!$B$94*Hypothèses!$B$47*Hypothèses!$B$46*(J90-0.5*(J90-I90))</f>
        <v>0</v>
      </c>
      <c r="K95" s="22">
        <f>Hypothèses!$B$94*Hypothèses!$B$47*Hypothèses!$B$46*(K90-0.5*(K90-J90))</f>
        <v>0</v>
      </c>
      <c r="L95" s="22">
        <f>Hypothèses!$B$94*Hypothèses!$B$47*Hypothèses!$B$46*(L90-0.5*(L90-K90))</f>
        <v>0</v>
      </c>
      <c r="M95" s="22">
        <f>Hypothèses!$B$94*Hypothèses!$B$47*Hypothèses!$B$46*(M90-0.5*(M90-L90))</f>
        <v>0</v>
      </c>
      <c r="N95" s="22">
        <f>Hypothèses!$B$94*Hypothèses!$B$47*Hypothèses!$B$46*(N90-0.5*(N90-M90))</f>
        <v>0</v>
      </c>
      <c r="O95" s="22">
        <f>Hypothèses!$B$94*Hypothèses!$B$47*Hypothèses!$B$46*(O90-0.5*(O90-N90))</f>
        <v>0</v>
      </c>
      <c r="P95" s="22">
        <f>Hypothèses!$B$94*Hypothèses!$B$47*Hypothèses!$B$46*(P90-0.5*(P90-O90))</f>
        <v>0</v>
      </c>
      <c r="Q95" s="22">
        <f>Hypothèses!$B$94*Hypothèses!$B$47*Hypothèses!$B$46*(Q90-0.5*(Q90-P90))</f>
        <v>0</v>
      </c>
      <c r="R95" s="22">
        <f>Hypothèses!$B$94*Hypothèses!$B$47*Hypothèses!$B$46*(R90-0.5*(R90-Q90))</f>
        <v>0</v>
      </c>
      <c r="S95" s="22">
        <f>Hypothèses!$B$94*Hypothèses!$B$47*Hypothèses!$B$46*(S90-0.5*(S90-R90))</f>
        <v>0</v>
      </c>
      <c r="T95" s="22">
        <f>Hypothèses!$B$94*Hypothèses!$B$47*Hypothèses!$B$46*(T90-0.5*(T90-S90))</f>
        <v>0</v>
      </c>
      <c r="U95" s="22">
        <f>Hypothèses!$B$94*Hypothèses!$B$47*Hypothèses!$B$46*(U90-0.5*(U90-T90))</f>
        <v>0</v>
      </c>
      <c r="V95" s="22">
        <f>Hypothèses!$B$94*Hypothèses!$B$47*Hypothèses!$B$46*(V90-0.5*(V90-U90))</f>
        <v>0</v>
      </c>
      <c r="W95" s="22">
        <f>Hypothèses!$B$94*Hypothèses!$B$47*Hypothèses!$B$46*(W90-0.5*(W90-V90))</f>
        <v>0</v>
      </c>
      <c r="X95" s="22">
        <f>Hypothèses!$B$94*Hypothèses!$B$47*Hypothèses!$B$46*(X90-0.5*(X90-W90))</f>
        <v>0</v>
      </c>
      <c r="Y95" s="22">
        <f>Hypothèses!$B$94*Hypothèses!$B$47*Hypothèses!$B$46*(Y90-0.5*(Y90-X90))</f>
        <v>0</v>
      </c>
      <c r="Z95" s="22">
        <f>Hypothèses!$B$94*Hypothèses!$B$47*Hypothèses!$B$46*(Z90-0.5*(Z90-Y90))</f>
        <v>0</v>
      </c>
      <c r="AA95" s="22">
        <f>Hypothèses!$B$94*Hypothèses!$B$47*Hypothèses!$B$46*(AA90-0.5*(AA90-Z90))</f>
        <v>0</v>
      </c>
      <c r="AB95" s="22">
        <f>Hypothèses!$B$94*Hypothèses!$B$47*Hypothèses!$B$46*(AB90-0.5*(AB90-AA90))</f>
        <v>0</v>
      </c>
      <c r="AC95" s="22">
        <f>Hypothèses!$B$94*Hypothèses!$B$47*Hypothèses!$B$46*(AC90-0.5*(AC90-AB90))</f>
        <v>0</v>
      </c>
      <c r="AD95" s="22">
        <f>Hypothèses!$B$94*Hypothèses!$B$47*Hypothèses!$B$46*(AD90-0.5*(AD90-AC90))</f>
        <v>0</v>
      </c>
      <c r="AE95" s="22">
        <f>Hypothèses!$B$94*Hypothèses!$B$47*Hypothèses!$B$46*(AE90-0.5*(AE90-AD90))</f>
        <v>0</v>
      </c>
      <c r="AF95" s="22">
        <f>Hypothèses!$B$94*Hypothèses!$B$47*Hypothèses!$B$46*(AF90-0.5*(AF90-AE90))</f>
        <v>0</v>
      </c>
      <c r="AG95" s="22">
        <f>Hypothèses!$B$94*Hypothèses!$B$47*Hypothèses!$B$46*(AG90-0.5*(AG90-AF90))</f>
        <v>0</v>
      </c>
      <c r="AH95" s="22">
        <f>Hypothèses!$B$94*Hypothèses!$B$47*Hypothèses!$B$46*(AH90-0.5*(AH90-AG90))</f>
        <v>0</v>
      </c>
      <c r="AI95" s="22">
        <f>Hypothèses!$B$94*Hypothèses!$B$47*Hypothèses!$B$46*(AI90-0.5*(AI90-AH90))</f>
        <v>0</v>
      </c>
      <c r="AJ95" s="22">
        <f>Hypothèses!$B$94*Hypothèses!$B$47*Hypothèses!$B$46*(AJ90-0.5*(AJ90-AI90))</f>
        <v>0</v>
      </c>
      <c r="AK95" s="22">
        <f>Hypothèses!$B$94*Hypothèses!$B$47*Hypothèses!$B$46*(AK90-0.5*(AK90-AJ90))</f>
        <v>0</v>
      </c>
      <c r="AL95" s="22">
        <f>Hypothèses!$B$94*Hypothèses!$B$47*Hypothèses!$B$46*(AL90-0.5*(AL90-AK90))</f>
        <v>0</v>
      </c>
      <c r="AM95" s="22">
        <f>Hypothèses!$B$94*Hypothèses!$B$47*Hypothèses!$B$46*(AM90-0.5*(AM90-AL90))</f>
        <v>0</v>
      </c>
      <c r="AN95" s="22">
        <f>Hypothèses!$B$94*Hypothèses!$B$47*Hypothèses!$B$46*(AN90-0.5*(AN90-AM90))</f>
        <v>0</v>
      </c>
      <c r="AO95" s="22">
        <f>Hypothèses!$B$94*Hypothèses!$B$47*Hypothèses!$B$46*(AO90-0.5*(AO90-AN90))</f>
        <v>0</v>
      </c>
      <c r="AP95" s="22">
        <f>Hypothèses!$B$94*Hypothèses!$B$47*Hypothèses!$B$46*(AP90-0.5*(AP90-AO90))</f>
        <v>0</v>
      </c>
      <c r="AQ95" s="22">
        <f>Hypothèses!$B$94*Hypothèses!$B$47*Hypothèses!$B$46*(AQ90-0.5*(AQ90-AP90))</f>
        <v>0</v>
      </c>
    </row>
    <row r="96" spans="1:43" x14ac:dyDescent="0.3">
      <c r="A96" s="6" t="s">
        <v>485</v>
      </c>
      <c r="B96" s="22">
        <f t="shared" si="30"/>
        <v>0</v>
      </c>
      <c r="C96" s="22">
        <f t="shared" si="31"/>
        <v>2667600</v>
      </c>
      <c r="D96" s="22">
        <f t="shared" si="32"/>
        <v>7113600</v>
      </c>
      <c r="E96" s="22">
        <f t="shared" si="33"/>
        <v>7113600</v>
      </c>
      <c r="F96" s="22">
        <f t="shared" si="34"/>
        <v>16894800</v>
      </c>
      <c r="G96" s="22">
        <f>(G92+G93)*Hypothèses!$B$63+(G94+G95)*Hypothèses!$B$102</f>
        <v>0</v>
      </c>
      <c r="H96" s="22">
        <f>(H92+H93)*Hypothèses!$B$63+(H94+H95)*Hypothèses!$B$102</f>
        <v>0</v>
      </c>
      <c r="I96" s="22">
        <f>(I92+I93)*Hypothèses!$B$63+(I94+I95)*Hypothèses!$B$102</f>
        <v>0</v>
      </c>
      <c r="J96" s="22">
        <f>(J92+J93)*Hypothèses!$B$63+(J94+J95)*Hypothèses!$B$102</f>
        <v>0</v>
      </c>
      <c r="K96" s="22">
        <f>(K92+K93)*Hypothèses!$B$63+(K94+K95)*Hypothèses!$B$102</f>
        <v>0</v>
      </c>
      <c r="L96" s="22">
        <f>(L92+L93)*Hypothèses!$B$63+(L94+L95)*Hypothèses!$B$102</f>
        <v>98800</v>
      </c>
      <c r="M96" s="22">
        <f>(M92+M93)*Hypothèses!$B$63+(M94+M95)*Hypothèses!$B$102</f>
        <v>197600</v>
      </c>
      <c r="N96" s="22">
        <f>(N92+N93)*Hypothèses!$B$63+(N94+N95)*Hypothèses!$B$102</f>
        <v>197600</v>
      </c>
      <c r="O96" s="22">
        <f>(O92+O93)*Hypothèses!$B$63+(O94+O95)*Hypothèses!$B$102</f>
        <v>296400</v>
      </c>
      <c r="P96" s="22">
        <f>(P92+P93)*Hypothèses!$B$63+(P94+P95)*Hypothèses!$B$102</f>
        <v>395200</v>
      </c>
      <c r="Q96" s="22">
        <f>(Q92+Q93)*Hypothèses!$B$63+(Q94+Q95)*Hypothèses!$B$102</f>
        <v>395200</v>
      </c>
      <c r="R96" s="22">
        <f>(R92+R93)*Hypothèses!$B$63+(R94+R95)*Hypothèses!$B$102</f>
        <v>494000</v>
      </c>
      <c r="S96" s="22">
        <f>(S92+S93)*Hypothèses!$B$63+(S94+S95)*Hypothèses!$B$102</f>
        <v>592800</v>
      </c>
      <c r="T96" s="22">
        <f>(T92+T93)*Hypothèses!$B$63+(T94+T95)*Hypothèses!$B$102</f>
        <v>592800</v>
      </c>
      <c r="U96" s="22">
        <f>(U92+U93)*Hypothèses!$B$63+(U94+U95)*Hypothèses!$B$102</f>
        <v>592800</v>
      </c>
      <c r="V96" s="22">
        <f>(V92+V93)*Hypothèses!$B$63+(V94+V95)*Hypothèses!$B$102</f>
        <v>592800</v>
      </c>
      <c r="W96" s="22">
        <f>(W92+W93)*Hypothèses!$B$63+(W94+W95)*Hypothèses!$B$102</f>
        <v>592800</v>
      </c>
      <c r="X96" s="22">
        <f>(X92+X93)*Hypothèses!$B$63+(X94+X95)*Hypothèses!$B$102</f>
        <v>592800</v>
      </c>
      <c r="Y96" s="22">
        <f>(Y92+Y93)*Hypothèses!$B$63+(Y94+Y95)*Hypothèses!$B$102</f>
        <v>592800</v>
      </c>
      <c r="Z96" s="22">
        <f>(Z92+Z93)*Hypothèses!$B$63+(Z94+Z95)*Hypothèses!$B$102</f>
        <v>592800</v>
      </c>
      <c r="AA96" s="22">
        <f>(AA92+AA93)*Hypothèses!$B$63+(AA94+AA95)*Hypothèses!$B$102</f>
        <v>592800</v>
      </c>
      <c r="AB96" s="22">
        <f>(AB92+AB93)*Hypothèses!$B$63+(AB94+AB95)*Hypothèses!$B$102</f>
        <v>592800</v>
      </c>
      <c r="AC96" s="22">
        <f>(AC92+AC93)*Hypothèses!$B$63+(AC94+AC95)*Hypothèses!$B$102</f>
        <v>592800</v>
      </c>
      <c r="AD96" s="22">
        <f>(AD92+AD93)*Hypothèses!$B$63+(AD94+AD95)*Hypothèses!$B$102</f>
        <v>592800</v>
      </c>
      <c r="AE96" s="22">
        <f>(AE92+AE93)*Hypothèses!$B$63+(AE94+AE95)*Hypothèses!$B$102</f>
        <v>592800</v>
      </c>
      <c r="AF96" s="22">
        <f>(AF92+AF93)*Hypothèses!$B$63+(AF94+AF95)*Hypothèses!$B$102</f>
        <v>592800</v>
      </c>
      <c r="AG96" s="22">
        <f>(AG92+AG93)*Hypothèses!$B$63+(AG94+AG95)*Hypothèses!$B$102</f>
        <v>592800</v>
      </c>
      <c r="AH96" s="22">
        <f>(AH92+AH93)*Hypothèses!$B$63+(AH94+AH95)*Hypothèses!$B$102</f>
        <v>592800</v>
      </c>
      <c r="AI96" s="22">
        <f>(AI92+AI93)*Hypothèses!$B$63+(AI94+AI95)*Hypothèses!$B$102</f>
        <v>592800</v>
      </c>
      <c r="AJ96" s="22">
        <f>(AJ92+AJ93)*Hypothèses!$B$63+(AJ94+AJ95)*Hypothèses!$B$102</f>
        <v>592800</v>
      </c>
      <c r="AK96" s="22">
        <f>(AK92+AK93)*Hypothèses!$B$63+(AK94+AK95)*Hypothèses!$B$102</f>
        <v>592800</v>
      </c>
      <c r="AL96" s="22">
        <f>(AL92+AL93)*Hypothèses!$B$63+(AL94+AL95)*Hypothèses!$B$102</f>
        <v>592800</v>
      </c>
      <c r="AM96" s="22">
        <f>(AM92+AM93)*Hypothèses!$B$63+(AM94+AM95)*Hypothèses!$B$102</f>
        <v>592800</v>
      </c>
      <c r="AN96" s="22">
        <f>(AN92+AN93)*Hypothèses!$B$63+(AN94+AN95)*Hypothèses!$B$102</f>
        <v>592800</v>
      </c>
      <c r="AO96" s="22">
        <f>(AO92+AO93)*Hypothèses!$B$63+(AO94+AO95)*Hypothèses!$B$102</f>
        <v>592800</v>
      </c>
      <c r="AP96" s="22">
        <f>(AP92+AP93)*Hypothèses!$B$63+(AP94+AP95)*Hypothèses!$B$102</f>
        <v>592800</v>
      </c>
      <c r="AQ96" s="22">
        <f>(AQ92+AQ93)*Hypothèses!$B$63+(AQ94+AQ95)*Hypothèses!$B$102</f>
        <v>592800</v>
      </c>
    </row>
    <row r="97" spans="1:43" x14ac:dyDescent="0.3">
      <c r="A97" s="4" t="s">
        <v>486</v>
      </c>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x14ac:dyDescent="0.3">
      <c r="A98" s="6" t="s">
        <v>487</v>
      </c>
      <c r="B98" s="22">
        <f t="shared" ref="B98:B105" si="36">G98</f>
        <v>0</v>
      </c>
      <c r="C98" s="22">
        <f t="shared" ref="C98:C105" si="37">SUM(H98:S98)</f>
        <v>11.5</v>
      </c>
      <c r="D98" s="22">
        <f t="shared" ref="D98:D105" si="38">SUM(T98:AE98)</f>
        <v>12</v>
      </c>
      <c r="E98" s="22">
        <f t="shared" ref="E98:E105" si="39">SUM(AF98:AQ98)</f>
        <v>0</v>
      </c>
      <c r="F98" s="22">
        <f t="shared" ref="F98:F105" si="40">SUM(B98:E98)</f>
        <v>23.5</v>
      </c>
      <c r="G98" s="39">
        <f>0</f>
        <v>0</v>
      </c>
      <c r="H98" s="39">
        <f>SUMPRODUCT($G$7:$AQ$7*((H$4-$G$4:$AQ$4)&gt;=0)*(1-0.5*((H$4-$G$4:$AQ$4)=0))*((H$4-$G$4:$AQ$4)&lt;Hypothèses!$B$74))+(H89-0.5*(H89-G89))</f>
        <v>0.5</v>
      </c>
      <c r="I98" s="39">
        <f>SUMPRODUCT($G$7:$AQ$7*((I$4-$G$4:$AQ$4)&gt;=0)*(1-0.5*((I$4-$G$4:$AQ$4)=0))*((I$4-$G$4:$AQ$4)&lt;Hypothèses!$B$74))+(I89-0.5*(I89-H89))</f>
        <v>1</v>
      </c>
      <c r="J98" s="39">
        <f>SUMPRODUCT($G$7:$AQ$7*((J$4-$G$4:$AQ$4)&gt;=0)*(1-0.5*((J$4-$G$4:$AQ$4)=0))*((J$4-$G$4:$AQ$4)&lt;Hypothèses!$B$74))+(J89-0.5*(J89-I89))</f>
        <v>1</v>
      </c>
      <c r="K98" s="39">
        <f>SUMPRODUCT($G$7:$AQ$7*((K$4-$G$4:$AQ$4)&gt;=0)*(1-0.5*((K$4-$G$4:$AQ$4)=0))*((K$4-$G$4:$AQ$4)&lt;Hypothèses!$B$74))+(K89-0.5*(K89-J89))</f>
        <v>1</v>
      </c>
      <c r="L98" s="39">
        <f>SUMPRODUCT($G$7:$AQ$7*((L$4-$G$4:$AQ$4)&gt;=0)*(1-0.5*((L$4-$G$4:$AQ$4)=0))*((L$4-$G$4:$AQ$4)&lt;Hypothèses!$B$74))+(L89-0.5*(L89-K89))</f>
        <v>1</v>
      </c>
      <c r="M98" s="39">
        <f>SUMPRODUCT($G$7:$AQ$7*((M$4-$G$4:$AQ$4)&gt;=0)*(1-0.5*((M$4-$G$4:$AQ$4)=0))*((M$4-$G$4:$AQ$4)&lt;Hypothèses!$B$74))+(M89-0.5*(M89-L89))</f>
        <v>1</v>
      </c>
      <c r="N98" s="39">
        <f>SUMPRODUCT($G$7:$AQ$7*((N$4-$G$4:$AQ$4)&gt;=0)*(1-0.5*((N$4-$G$4:$AQ$4)=0))*((N$4-$G$4:$AQ$4)&lt;Hypothèses!$B$74))+(N89-0.5*(N89-M89))</f>
        <v>1</v>
      </c>
      <c r="O98" s="39">
        <f>SUMPRODUCT($G$7:$AQ$7*((O$4-$G$4:$AQ$4)&gt;=0)*(1-0.5*((O$4-$G$4:$AQ$4)=0))*((O$4-$G$4:$AQ$4)&lt;Hypothèses!$B$74))+(O89-0.5*(O89-N89))</f>
        <v>1</v>
      </c>
      <c r="P98" s="39">
        <f>SUMPRODUCT($G$7:$AQ$7*((P$4-$G$4:$AQ$4)&gt;=0)*(1-0.5*((P$4-$G$4:$AQ$4)=0))*((P$4-$G$4:$AQ$4)&lt;Hypothèses!$B$74))+(P89-0.5*(P89-O89))</f>
        <v>1</v>
      </c>
      <c r="Q98" s="39">
        <f>SUMPRODUCT($G$7:$AQ$7*((Q$4-$G$4:$AQ$4)&gt;=0)*(1-0.5*((Q$4-$G$4:$AQ$4)=0))*((Q$4-$G$4:$AQ$4)&lt;Hypothèses!$B$74))+(Q89-0.5*(Q89-P89))</f>
        <v>1</v>
      </c>
      <c r="R98" s="39">
        <f>SUMPRODUCT($G$7:$AQ$7*((R$4-$G$4:$AQ$4)&gt;=0)*(1-0.5*((R$4-$G$4:$AQ$4)=0))*((R$4-$G$4:$AQ$4)&lt;Hypothèses!$B$74))+(R89-0.5*(R89-Q89))</f>
        <v>1</v>
      </c>
      <c r="S98" s="39">
        <f>SUMPRODUCT($G$7:$AQ$7*((S$4-$G$4:$AQ$4)&gt;=0)*(1-0.5*((S$4-$G$4:$AQ$4)=0))*((S$4-$G$4:$AQ$4)&lt;Hypothèses!$B$74))+(S89-0.5*(S89-R89))</f>
        <v>1</v>
      </c>
      <c r="T98" s="39">
        <f>SUMPRODUCT($G$7:$AQ$7*((T$4-$G$4:$AQ$4)&gt;=0)*(1-0.5*((T$4-$G$4:$AQ$4)=0))*((T$4-$G$4:$AQ$4)&lt;Hypothèses!$B$74))+(T89-0.5*(T89-S89))</f>
        <v>1</v>
      </c>
      <c r="U98" s="39">
        <f>SUMPRODUCT($G$7:$AQ$7*((U$4-$G$4:$AQ$4)&gt;=0)*(1-0.5*((U$4-$G$4:$AQ$4)=0))*((U$4-$G$4:$AQ$4)&lt;Hypothèses!$B$74))+(U89-0.5*(U89-T89))</f>
        <v>1</v>
      </c>
      <c r="V98" s="39">
        <f>SUMPRODUCT($G$7:$AQ$7*((V$4-$G$4:$AQ$4)&gt;=0)*(1-0.5*((V$4-$G$4:$AQ$4)=0))*((V$4-$G$4:$AQ$4)&lt;Hypothèses!$B$74))+(V89-0.5*(V89-U89))</f>
        <v>1</v>
      </c>
      <c r="W98" s="39">
        <f>SUMPRODUCT($G$7:$AQ$7*((W$4-$G$4:$AQ$4)&gt;=0)*(1-0.5*((W$4-$G$4:$AQ$4)=0))*((W$4-$G$4:$AQ$4)&lt;Hypothèses!$B$74))+(W89-0.5*(W89-V89))</f>
        <v>1</v>
      </c>
      <c r="X98" s="39">
        <f>SUMPRODUCT($G$7:$AQ$7*((X$4-$G$4:$AQ$4)&gt;=0)*(1-0.5*((X$4-$G$4:$AQ$4)=0))*((X$4-$G$4:$AQ$4)&lt;Hypothèses!$B$74))+(X89-0.5*(X89-W89))</f>
        <v>1</v>
      </c>
      <c r="Y98" s="39">
        <f>SUMPRODUCT($G$7:$AQ$7*((Y$4-$G$4:$AQ$4)&gt;=0)*(1-0.5*((Y$4-$G$4:$AQ$4)=0))*((Y$4-$G$4:$AQ$4)&lt;Hypothèses!$B$74))+(Y89-0.5*(Y89-X89))</f>
        <v>1</v>
      </c>
      <c r="Z98" s="39">
        <f>SUMPRODUCT($G$7:$AQ$7*((Z$4-$G$4:$AQ$4)&gt;=0)*(1-0.5*((Z$4-$G$4:$AQ$4)=0))*((Z$4-$G$4:$AQ$4)&lt;Hypothèses!$B$74))+(Z89-0.5*(Z89-Y89))</f>
        <v>1</v>
      </c>
      <c r="AA98" s="39">
        <f>SUMPRODUCT($G$7:$AQ$7*((AA$4-$G$4:$AQ$4)&gt;=0)*(1-0.5*((AA$4-$G$4:$AQ$4)=0))*((AA$4-$G$4:$AQ$4)&lt;Hypothèses!$B$74))+(AA89-0.5*(AA89-Z89))</f>
        <v>1</v>
      </c>
      <c r="AB98" s="39">
        <f>SUMPRODUCT($G$7:$AQ$7*((AB$4-$G$4:$AQ$4)&gt;=0)*(1-0.5*((AB$4-$G$4:$AQ$4)=0))*((AB$4-$G$4:$AQ$4)&lt;Hypothèses!$B$74))+(AB89-0.5*(AB89-AA89))</f>
        <v>1</v>
      </c>
      <c r="AC98" s="39">
        <f>SUMPRODUCT($G$7:$AQ$7*((AC$4-$G$4:$AQ$4)&gt;=0)*(1-0.5*((AC$4-$G$4:$AQ$4)=0))*((AC$4-$G$4:$AQ$4)&lt;Hypothèses!$B$74))+(AC89-0.5*(AC89-AB89))</f>
        <v>1</v>
      </c>
      <c r="AD98" s="39">
        <f>SUMPRODUCT($G$7:$AQ$7*((AD$4-$G$4:$AQ$4)&gt;=0)*(1-0.5*((AD$4-$G$4:$AQ$4)=0))*((AD$4-$G$4:$AQ$4)&lt;Hypothèses!$B$74))+(AD89-0.5*(AD89-AC89))</f>
        <v>1</v>
      </c>
      <c r="AE98" s="39">
        <f>SUMPRODUCT($G$7:$AQ$7*((AE$4-$G$4:$AQ$4)&gt;=0)*(1-0.5*((AE$4-$G$4:$AQ$4)=0))*((AE$4-$G$4:$AQ$4)&lt;Hypothèses!$B$74))+(AE89-0.5*(AE89-AD89))</f>
        <v>1</v>
      </c>
      <c r="AF98" s="39">
        <f>SUMPRODUCT($G$7:$AQ$7*((AF$4-$G$4:$AQ$4)&gt;=0)*(1-0.5*((AF$4-$G$4:$AQ$4)=0))*((AF$4-$G$4:$AQ$4)&lt;Hypothèses!$B$74))+(AF89-0.5*(AF89-AE89))</f>
        <v>0</v>
      </c>
      <c r="AG98" s="39">
        <f>SUMPRODUCT($G$7:$AQ$7*((AG$4-$G$4:$AQ$4)&gt;=0)*(1-0.5*((AG$4-$G$4:$AQ$4)=0))*((AG$4-$G$4:$AQ$4)&lt;Hypothèses!$B$74))+(AG89-0.5*(AG89-AF89))</f>
        <v>0</v>
      </c>
      <c r="AH98" s="39">
        <f>SUMPRODUCT($G$7:$AQ$7*((AH$4-$G$4:$AQ$4)&gt;=0)*(1-0.5*((AH$4-$G$4:$AQ$4)=0))*((AH$4-$G$4:$AQ$4)&lt;Hypothèses!$B$74))+(AH89-0.5*(AH89-AG89))</f>
        <v>0</v>
      </c>
      <c r="AI98" s="39">
        <f>SUMPRODUCT($G$7:$AQ$7*((AI$4-$G$4:$AQ$4)&gt;=0)*(1-0.5*((AI$4-$G$4:$AQ$4)=0))*((AI$4-$G$4:$AQ$4)&lt;Hypothèses!$B$74))+(AI89-0.5*(AI89-AH89))</f>
        <v>0</v>
      </c>
      <c r="AJ98" s="39">
        <f>SUMPRODUCT($G$7:$AQ$7*((AJ$4-$G$4:$AQ$4)&gt;=0)*(1-0.5*((AJ$4-$G$4:$AQ$4)=0))*((AJ$4-$G$4:$AQ$4)&lt;Hypothèses!$B$74))+(AJ89-0.5*(AJ89-AI89))</f>
        <v>0</v>
      </c>
      <c r="AK98" s="39">
        <f>SUMPRODUCT($G$7:$AQ$7*((AK$4-$G$4:$AQ$4)&gt;=0)*(1-0.5*((AK$4-$G$4:$AQ$4)=0))*((AK$4-$G$4:$AQ$4)&lt;Hypothèses!$B$74))+(AK89-0.5*(AK89-AJ89))</f>
        <v>0</v>
      </c>
      <c r="AL98" s="39">
        <f>SUMPRODUCT($G$7:$AQ$7*((AL$4-$G$4:$AQ$4)&gt;=0)*(1-0.5*((AL$4-$G$4:$AQ$4)=0))*((AL$4-$G$4:$AQ$4)&lt;Hypothèses!$B$74))+(AL89-0.5*(AL89-AK89))</f>
        <v>0</v>
      </c>
      <c r="AM98" s="39">
        <f>SUMPRODUCT($G$7:$AQ$7*((AM$4-$G$4:$AQ$4)&gt;=0)*(1-0.5*((AM$4-$G$4:$AQ$4)=0))*((AM$4-$G$4:$AQ$4)&lt;Hypothèses!$B$74))+(AM89-0.5*(AM89-AL89))</f>
        <v>0</v>
      </c>
      <c r="AN98" s="39">
        <f>SUMPRODUCT($G$7:$AQ$7*((AN$4-$G$4:$AQ$4)&gt;=0)*(1-0.5*((AN$4-$G$4:$AQ$4)=0))*((AN$4-$G$4:$AQ$4)&lt;Hypothèses!$B$74))+(AN89-0.5*(AN89-AM89))</f>
        <v>0</v>
      </c>
      <c r="AO98" s="39">
        <f>SUMPRODUCT($G$7:$AQ$7*((AO$4-$G$4:$AQ$4)&gt;=0)*(1-0.5*((AO$4-$G$4:$AQ$4)=0))*((AO$4-$G$4:$AQ$4)&lt;Hypothèses!$B$74))+(AO89-0.5*(AO89-AN89))</f>
        <v>0</v>
      </c>
      <c r="AP98" s="39">
        <f>SUMPRODUCT($G$7:$AQ$7*((AP$4-$G$4:$AQ$4)&gt;=0)*(1-0.5*((AP$4-$G$4:$AQ$4)=0))*((AP$4-$G$4:$AQ$4)&lt;Hypothèses!$B$74))+(AP89-0.5*(AP89-AO89))</f>
        <v>0</v>
      </c>
      <c r="AQ98" s="39">
        <f>SUMPRODUCT($G$7:$AQ$7*((AQ$4-$G$4:$AQ$4)&gt;=0)*(1-0.5*((AQ$4-$G$4:$AQ$4)=0))*((AQ$4-$G$4:$AQ$4)&lt;Hypothèses!$B$74))+(AQ89-0.5*(AQ89-AP89))</f>
        <v>0</v>
      </c>
    </row>
    <row r="99" spans="1:43" x14ac:dyDescent="0.3">
      <c r="A99" s="6" t="s">
        <v>488</v>
      </c>
      <c r="B99" s="22">
        <f t="shared" si="36"/>
        <v>0</v>
      </c>
      <c r="C99" s="22">
        <f t="shared" si="37"/>
        <v>57.5</v>
      </c>
      <c r="D99" s="22">
        <f t="shared" si="38"/>
        <v>0</v>
      </c>
      <c r="E99" s="22">
        <f t="shared" si="39"/>
        <v>0</v>
      </c>
      <c r="F99" s="22">
        <f t="shared" si="40"/>
        <v>57.5</v>
      </c>
      <c r="G99" s="39">
        <f>0</f>
        <v>0</v>
      </c>
      <c r="H99" s="39">
        <f>SUMPRODUCT($G$8:$AQ$8*((H$4-$G$4:$AQ$4)&gt;=0)*(1-0.5*((H$4-$G$4:$AQ$4)=0))*((H$4-$G$4:$AQ$4)&lt;Hypothèses!$B$76))+(H90-0.5*(H90-G90))</f>
        <v>2.5</v>
      </c>
      <c r="I99" s="39">
        <f>SUMPRODUCT($G$8:$AQ$8*((I$4-$G$4:$AQ$4)&gt;=0)*(1-0.5*((I$4-$G$4:$AQ$4)=0))*((I$4-$G$4:$AQ$4)&lt;Hypothèses!$B$76))+(I90-0.5*(I90-H90))</f>
        <v>5</v>
      </c>
      <c r="J99" s="39">
        <f>SUMPRODUCT($G$8:$AQ$8*((J$4-$G$4:$AQ$4)&gt;=0)*(1-0.5*((J$4-$G$4:$AQ$4)=0))*((J$4-$G$4:$AQ$4)&lt;Hypothèses!$B$76))+(J90-0.5*(J90-I90))</f>
        <v>5</v>
      </c>
      <c r="K99" s="39">
        <f>SUMPRODUCT($G$8:$AQ$8*((K$4-$G$4:$AQ$4)&gt;=0)*(1-0.5*((K$4-$G$4:$AQ$4)=0))*((K$4-$G$4:$AQ$4)&lt;Hypothèses!$B$76))+(K90-0.5*(K90-J90))</f>
        <v>5</v>
      </c>
      <c r="L99" s="39">
        <f>SUMPRODUCT($G$8:$AQ$8*((L$4-$G$4:$AQ$4)&gt;=0)*(1-0.5*((L$4-$G$4:$AQ$4)=0))*((L$4-$G$4:$AQ$4)&lt;Hypothèses!$B$76))+(L90-0.5*(L90-K90))</f>
        <v>5</v>
      </c>
      <c r="M99" s="39">
        <f>SUMPRODUCT($G$8:$AQ$8*((M$4-$G$4:$AQ$4)&gt;=0)*(1-0.5*((M$4-$G$4:$AQ$4)=0))*((M$4-$G$4:$AQ$4)&lt;Hypothèses!$B$76))+(M90-0.5*(M90-L90))</f>
        <v>5</v>
      </c>
      <c r="N99" s="39">
        <f>SUMPRODUCT($G$8:$AQ$8*((N$4-$G$4:$AQ$4)&gt;=0)*(1-0.5*((N$4-$G$4:$AQ$4)=0))*((N$4-$G$4:$AQ$4)&lt;Hypothèses!$B$76))+(N90-0.5*(N90-M90))</f>
        <v>5</v>
      </c>
      <c r="O99" s="39">
        <f>SUMPRODUCT($G$8:$AQ$8*((O$4-$G$4:$AQ$4)&gt;=0)*(1-0.5*((O$4-$G$4:$AQ$4)=0))*((O$4-$G$4:$AQ$4)&lt;Hypothèses!$B$76))+(O90-0.5*(O90-N90))</f>
        <v>5</v>
      </c>
      <c r="P99" s="39">
        <f>SUMPRODUCT($G$8:$AQ$8*((P$4-$G$4:$AQ$4)&gt;=0)*(1-0.5*((P$4-$G$4:$AQ$4)=0))*((P$4-$G$4:$AQ$4)&lt;Hypothèses!$B$76))+(P90-0.5*(P90-O90))</f>
        <v>5</v>
      </c>
      <c r="Q99" s="39">
        <f>SUMPRODUCT($G$8:$AQ$8*((Q$4-$G$4:$AQ$4)&gt;=0)*(1-0.5*((Q$4-$G$4:$AQ$4)=0))*((Q$4-$G$4:$AQ$4)&lt;Hypothèses!$B$76))+(Q90-0.5*(Q90-P90))</f>
        <v>5</v>
      </c>
      <c r="R99" s="39">
        <f>SUMPRODUCT($G$8:$AQ$8*((R$4-$G$4:$AQ$4)&gt;=0)*(1-0.5*((R$4-$G$4:$AQ$4)=0))*((R$4-$G$4:$AQ$4)&lt;Hypothèses!$B$76))+(R90-0.5*(R90-Q90))</f>
        <v>5</v>
      </c>
      <c r="S99" s="39">
        <f>SUMPRODUCT($G$8:$AQ$8*((S$4-$G$4:$AQ$4)&gt;=0)*(1-0.5*((S$4-$G$4:$AQ$4)=0))*((S$4-$G$4:$AQ$4)&lt;Hypothèses!$B$76))+(S90-0.5*(S90-R90))</f>
        <v>5</v>
      </c>
      <c r="T99" s="39">
        <f>SUMPRODUCT($G$8:$AQ$8*((T$4-$G$4:$AQ$4)&gt;=0)*(1-0.5*((T$4-$G$4:$AQ$4)=0))*((T$4-$G$4:$AQ$4)&lt;Hypothèses!$B$76))+(T90-0.5*(T90-S90))</f>
        <v>0</v>
      </c>
      <c r="U99" s="39">
        <f>SUMPRODUCT($G$8:$AQ$8*((U$4-$G$4:$AQ$4)&gt;=0)*(1-0.5*((U$4-$G$4:$AQ$4)=0))*((U$4-$G$4:$AQ$4)&lt;Hypothèses!$B$76))+(U90-0.5*(U90-T90))</f>
        <v>0</v>
      </c>
      <c r="V99" s="39">
        <f>SUMPRODUCT($G$8:$AQ$8*((V$4-$G$4:$AQ$4)&gt;=0)*(1-0.5*((V$4-$G$4:$AQ$4)=0))*((V$4-$G$4:$AQ$4)&lt;Hypothèses!$B$76))+(V90-0.5*(V90-U90))</f>
        <v>0</v>
      </c>
      <c r="W99" s="39">
        <f>SUMPRODUCT($G$8:$AQ$8*((W$4-$G$4:$AQ$4)&gt;=0)*(1-0.5*((W$4-$G$4:$AQ$4)=0))*((W$4-$G$4:$AQ$4)&lt;Hypothèses!$B$76))+(W90-0.5*(W90-V90))</f>
        <v>0</v>
      </c>
      <c r="X99" s="39">
        <f>SUMPRODUCT($G$8:$AQ$8*((X$4-$G$4:$AQ$4)&gt;=0)*(1-0.5*((X$4-$G$4:$AQ$4)=0))*((X$4-$G$4:$AQ$4)&lt;Hypothèses!$B$76))+(X90-0.5*(X90-W90))</f>
        <v>0</v>
      </c>
      <c r="Y99" s="39">
        <f>SUMPRODUCT($G$8:$AQ$8*((Y$4-$G$4:$AQ$4)&gt;=0)*(1-0.5*((Y$4-$G$4:$AQ$4)=0))*((Y$4-$G$4:$AQ$4)&lt;Hypothèses!$B$76))+(Y90-0.5*(Y90-X90))</f>
        <v>0</v>
      </c>
      <c r="Z99" s="39">
        <f>SUMPRODUCT($G$8:$AQ$8*((Z$4-$G$4:$AQ$4)&gt;=0)*(1-0.5*((Z$4-$G$4:$AQ$4)=0))*((Z$4-$G$4:$AQ$4)&lt;Hypothèses!$B$76))+(Z90-0.5*(Z90-Y90))</f>
        <v>0</v>
      </c>
      <c r="AA99" s="39">
        <f>SUMPRODUCT($G$8:$AQ$8*((AA$4-$G$4:$AQ$4)&gt;=0)*(1-0.5*((AA$4-$G$4:$AQ$4)=0))*((AA$4-$G$4:$AQ$4)&lt;Hypothèses!$B$76))+(AA90-0.5*(AA90-Z90))</f>
        <v>0</v>
      </c>
      <c r="AB99" s="39">
        <f>SUMPRODUCT($G$8:$AQ$8*((AB$4-$G$4:$AQ$4)&gt;=0)*(1-0.5*((AB$4-$G$4:$AQ$4)=0))*((AB$4-$G$4:$AQ$4)&lt;Hypothèses!$B$76))+(AB90-0.5*(AB90-AA90))</f>
        <v>0</v>
      </c>
      <c r="AC99" s="39">
        <f>SUMPRODUCT($G$8:$AQ$8*((AC$4-$G$4:$AQ$4)&gt;=0)*(1-0.5*((AC$4-$G$4:$AQ$4)=0))*((AC$4-$G$4:$AQ$4)&lt;Hypothèses!$B$76))+(AC90-0.5*(AC90-AB90))</f>
        <v>0</v>
      </c>
      <c r="AD99" s="39">
        <f>SUMPRODUCT($G$8:$AQ$8*((AD$4-$G$4:$AQ$4)&gt;=0)*(1-0.5*((AD$4-$G$4:$AQ$4)=0))*((AD$4-$G$4:$AQ$4)&lt;Hypothèses!$B$76))+(AD90-0.5*(AD90-AC90))</f>
        <v>0</v>
      </c>
      <c r="AE99" s="39">
        <f>SUMPRODUCT($G$8:$AQ$8*((AE$4-$G$4:$AQ$4)&gt;=0)*(1-0.5*((AE$4-$G$4:$AQ$4)=0))*((AE$4-$G$4:$AQ$4)&lt;Hypothèses!$B$76))+(AE90-0.5*(AE90-AD90))</f>
        <v>0</v>
      </c>
      <c r="AF99" s="39">
        <f>SUMPRODUCT($G$8:$AQ$8*((AF$4-$G$4:$AQ$4)&gt;=0)*(1-0.5*((AF$4-$G$4:$AQ$4)=0))*((AF$4-$G$4:$AQ$4)&lt;Hypothèses!$B$76))+(AF90-0.5*(AF90-AE90))</f>
        <v>0</v>
      </c>
      <c r="AG99" s="39">
        <f>SUMPRODUCT($G$8:$AQ$8*((AG$4-$G$4:$AQ$4)&gt;=0)*(1-0.5*((AG$4-$G$4:$AQ$4)=0))*((AG$4-$G$4:$AQ$4)&lt;Hypothèses!$B$76))+(AG90-0.5*(AG90-AF90))</f>
        <v>0</v>
      </c>
      <c r="AH99" s="39">
        <f>SUMPRODUCT($G$8:$AQ$8*((AH$4-$G$4:$AQ$4)&gt;=0)*(1-0.5*((AH$4-$G$4:$AQ$4)=0))*((AH$4-$G$4:$AQ$4)&lt;Hypothèses!$B$76))+(AH90-0.5*(AH90-AG90))</f>
        <v>0</v>
      </c>
      <c r="AI99" s="39">
        <f>SUMPRODUCT($G$8:$AQ$8*((AI$4-$G$4:$AQ$4)&gt;=0)*(1-0.5*((AI$4-$G$4:$AQ$4)=0))*((AI$4-$G$4:$AQ$4)&lt;Hypothèses!$B$76))+(AI90-0.5*(AI90-AH90))</f>
        <v>0</v>
      </c>
      <c r="AJ99" s="39">
        <f>SUMPRODUCT($G$8:$AQ$8*((AJ$4-$G$4:$AQ$4)&gt;=0)*(1-0.5*((AJ$4-$G$4:$AQ$4)=0))*((AJ$4-$G$4:$AQ$4)&lt;Hypothèses!$B$76))+(AJ90-0.5*(AJ90-AI90))</f>
        <v>0</v>
      </c>
      <c r="AK99" s="39">
        <f>SUMPRODUCT($G$8:$AQ$8*((AK$4-$G$4:$AQ$4)&gt;=0)*(1-0.5*((AK$4-$G$4:$AQ$4)=0))*((AK$4-$G$4:$AQ$4)&lt;Hypothèses!$B$76))+(AK90-0.5*(AK90-AJ90))</f>
        <v>0</v>
      </c>
      <c r="AL99" s="39">
        <f>SUMPRODUCT($G$8:$AQ$8*((AL$4-$G$4:$AQ$4)&gt;=0)*(1-0.5*((AL$4-$G$4:$AQ$4)=0))*((AL$4-$G$4:$AQ$4)&lt;Hypothèses!$B$76))+(AL90-0.5*(AL90-AK90))</f>
        <v>0</v>
      </c>
      <c r="AM99" s="39">
        <f>SUMPRODUCT($G$8:$AQ$8*((AM$4-$G$4:$AQ$4)&gt;=0)*(1-0.5*((AM$4-$G$4:$AQ$4)=0))*((AM$4-$G$4:$AQ$4)&lt;Hypothèses!$B$76))+(AM90-0.5*(AM90-AL90))</f>
        <v>0</v>
      </c>
      <c r="AN99" s="39">
        <f>SUMPRODUCT($G$8:$AQ$8*((AN$4-$G$4:$AQ$4)&gt;=0)*(1-0.5*((AN$4-$G$4:$AQ$4)=0))*((AN$4-$G$4:$AQ$4)&lt;Hypothèses!$B$76))+(AN90-0.5*(AN90-AM90))</f>
        <v>0</v>
      </c>
      <c r="AO99" s="39">
        <f>SUMPRODUCT($G$8:$AQ$8*((AO$4-$G$4:$AQ$4)&gt;=0)*(1-0.5*((AO$4-$G$4:$AQ$4)=0))*((AO$4-$G$4:$AQ$4)&lt;Hypothèses!$B$76))+(AO90-0.5*(AO90-AN90))</f>
        <v>0</v>
      </c>
      <c r="AP99" s="39">
        <f>SUMPRODUCT($G$8:$AQ$8*((AP$4-$G$4:$AQ$4)&gt;=0)*(1-0.5*((AP$4-$G$4:$AQ$4)=0))*((AP$4-$G$4:$AQ$4)&lt;Hypothèses!$B$76))+(AP90-0.5*(AP90-AO90))</f>
        <v>0</v>
      </c>
      <c r="AQ99" s="39">
        <f>SUMPRODUCT($G$8:$AQ$8*((AQ$4-$G$4:$AQ$4)&gt;=0)*(1-0.5*((AQ$4-$G$4:$AQ$4)=0))*((AQ$4-$G$4:$AQ$4)&lt;Hypothèses!$B$76))+(AQ90-0.5*(AQ90-AP90))</f>
        <v>0</v>
      </c>
    </row>
    <row r="100" spans="1:43" x14ac:dyDescent="0.3">
      <c r="A100" s="6" t="s">
        <v>489</v>
      </c>
      <c r="B100" s="22">
        <f t="shared" si="36"/>
        <v>0</v>
      </c>
      <c r="C100" s="22">
        <f t="shared" si="37"/>
        <v>82.5</v>
      </c>
      <c r="D100" s="22">
        <f t="shared" si="38"/>
        <v>108</v>
      </c>
      <c r="E100" s="22">
        <f t="shared" si="39"/>
        <v>108</v>
      </c>
      <c r="F100" s="22">
        <f t="shared" si="40"/>
        <v>298.5</v>
      </c>
      <c r="G100" s="39">
        <f>0</f>
        <v>0</v>
      </c>
      <c r="H100" s="39">
        <f>IF(H$4&lt;Hypothèses!$B$59,0,Hypothèses!$B$57*IF(H$4=Hypothèses!$B$59,0.5,1)*((H$4-Hypothèses!$B$59)&lt;Hypothèses!$B$65))+(H87-0.5*(H87-G87))</f>
        <v>3</v>
      </c>
      <c r="I100" s="39">
        <f>IF(I$4&lt;Hypothèses!$B$59,0,Hypothèses!$B$57*IF(I$4=Hypothèses!$B$59,0.5,1)*((I$4-Hypothèses!$B$59)&lt;Hypothèses!$B$65))+(I87-0.5*(I87-H87))</f>
        <v>6</v>
      </c>
      <c r="J100" s="39">
        <f>IF(J$4&lt;Hypothèses!$B$59,0,Hypothèses!$B$57*IF(J$4=Hypothèses!$B$59,0.5,1)*((J$4-Hypothèses!$B$59)&lt;Hypothèses!$B$65))+(J87-0.5*(J87-I87))</f>
        <v>6</v>
      </c>
      <c r="K100" s="39">
        <f>IF(K$4&lt;Hypothèses!$B$59,0,Hypothèses!$B$57*IF(K$4=Hypothèses!$B$59,0.5,1)*((K$4-Hypothèses!$B$59)&lt;Hypothèses!$B$65))+(K87-0.5*(K87-J87))</f>
        <v>6</v>
      </c>
      <c r="L100" s="39">
        <f>IF(L$4&lt;Hypothèses!$B$59,0,Hypothèses!$B$57*IF(L$4=Hypothèses!$B$59,0.5,1)*((L$4-Hypothèses!$B$59)&lt;Hypothèses!$B$65))+(L87-0.5*(L87-K87))</f>
        <v>6.5</v>
      </c>
      <c r="M100" s="39">
        <f>IF(M$4&lt;Hypothèses!$B$59,0,Hypothèses!$B$57*IF(M$4=Hypothèses!$B$59,0.5,1)*((M$4-Hypothèses!$B$59)&lt;Hypothèses!$B$65))+(M87-0.5*(M87-L87))</f>
        <v>7</v>
      </c>
      <c r="N100" s="39">
        <f>IF(N$4&lt;Hypothèses!$B$59,0,Hypothèses!$B$57*IF(N$4=Hypothèses!$B$59,0.5,1)*((N$4-Hypothèses!$B$59)&lt;Hypothèses!$B$65))+(N87-0.5*(N87-M87))</f>
        <v>7</v>
      </c>
      <c r="O100" s="39">
        <f>IF(O$4&lt;Hypothèses!$B$59,0,Hypothèses!$B$57*IF(O$4=Hypothèses!$B$59,0.5,1)*((O$4-Hypothèses!$B$59)&lt;Hypothèses!$B$65))+(O87-0.5*(O87-N87))</f>
        <v>7.5</v>
      </c>
      <c r="P100" s="39">
        <f>IF(P$4&lt;Hypothèses!$B$59,0,Hypothèses!$B$57*IF(P$4=Hypothèses!$B$59,0.5,1)*((P$4-Hypothèses!$B$59)&lt;Hypothèses!$B$65))+(P87-0.5*(P87-O87))</f>
        <v>8</v>
      </c>
      <c r="Q100" s="39">
        <f>IF(Q$4&lt;Hypothèses!$B$59,0,Hypothèses!$B$57*IF(Q$4=Hypothèses!$B$59,0.5,1)*((Q$4-Hypothèses!$B$59)&lt;Hypothèses!$B$65))+(Q87-0.5*(Q87-P87))</f>
        <v>8</v>
      </c>
      <c r="R100" s="39">
        <f>IF(R$4&lt;Hypothèses!$B$59,0,Hypothèses!$B$57*IF(R$4=Hypothèses!$B$59,0.5,1)*((R$4-Hypothèses!$B$59)&lt;Hypothèses!$B$65))+(R87-0.5*(R87-Q87))</f>
        <v>8.5</v>
      </c>
      <c r="S100" s="39">
        <f>IF(S$4&lt;Hypothèses!$B$59,0,Hypothèses!$B$57*IF(S$4=Hypothèses!$B$59,0.5,1)*((S$4-Hypothèses!$B$59)&lt;Hypothèses!$B$65))+(S87-0.5*(S87-R87))</f>
        <v>9</v>
      </c>
      <c r="T100" s="39">
        <f>IF(T$4&lt;Hypothèses!$B$59,0,Hypothèses!$B$57*IF(T$4=Hypothèses!$B$59,0.5,1)*((T$4-Hypothèses!$B$59)&lt;Hypothèses!$B$65))+(T87-0.5*(T87-S87))</f>
        <v>9</v>
      </c>
      <c r="U100" s="39">
        <f>IF(U$4&lt;Hypothèses!$B$59,0,Hypothèses!$B$57*IF(U$4=Hypothèses!$B$59,0.5,1)*((U$4-Hypothèses!$B$59)&lt;Hypothèses!$B$65))+(U87-0.5*(U87-T87))</f>
        <v>9</v>
      </c>
      <c r="V100" s="39">
        <f>IF(V$4&lt;Hypothèses!$B$59,0,Hypothèses!$B$57*IF(V$4=Hypothèses!$B$59,0.5,1)*((V$4-Hypothèses!$B$59)&lt;Hypothèses!$B$65))+(V87-0.5*(V87-U87))</f>
        <v>9</v>
      </c>
      <c r="W100" s="39">
        <f>IF(W$4&lt;Hypothèses!$B$59,0,Hypothèses!$B$57*IF(W$4=Hypothèses!$B$59,0.5,1)*((W$4-Hypothèses!$B$59)&lt;Hypothèses!$B$65))+(W87-0.5*(W87-V87))</f>
        <v>9</v>
      </c>
      <c r="X100" s="39">
        <f>IF(X$4&lt;Hypothèses!$B$59,0,Hypothèses!$B$57*IF(X$4=Hypothèses!$B$59,0.5,1)*((X$4-Hypothèses!$B$59)&lt;Hypothèses!$B$65))+(X87-0.5*(X87-W87))</f>
        <v>9</v>
      </c>
      <c r="Y100" s="39">
        <f>IF(Y$4&lt;Hypothèses!$B$59,0,Hypothèses!$B$57*IF(Y$4=Hypothèses!$B$59,0.5,1)*((Y$4-Hypothèses!$B$59)&lt;Hypothèses!$B$65))+(Y87-0.5*(Y87-X87))</f>
        <v>9</v>
      </c>
      <c r="Z100" s="39">
        <f>IF(Z$4&lt;Hypothèses!$B$59,0,Hypothèses!$B$57*IF(Z$4=Hypothèses!$B$59,0.5,1)*((Z$4-Hypothèses!$B$59)&lt;Hypothèses!$B$65))+(Z87-0.5*(Z87-Y87))</f>
        <v>9</v>
      </c>
      <c r="AA100" s="39">
        <f>IF(AA$4&lt;Hypothèses!$B$59,0,Hypothèses!$B$57*IF(AA$4=Hypothèses!$B$59,0.5,1)*((AA$4-Hypothèses!$B$59)&lt;Hypothèses!$B$65))+(AA87-0.5*(AA87-Z87))</f>
        <v>9</v>
      </c>
      <c r="AB100" s="39">
        <f>IF(AB$4&lt;Hypothèses!$B$59,0,Hypothèses!$B$57*IF(AB$4=Hypothèses!$B$59,0.5,1)*((AB$4-Hypothèses!$B$59)&lt;Hypothèses!$B$65))+(AB87-0.5*(AB87-AA87))</f>
        <v>9</v>
      </c>
      <c r="AC100" s="39">
        <f>IF(AC$4&lt;Hypothèses!$B$59,0,Hypothèses!$B$57*IF(AC$4=Hypothèses!$B$59,0.5,1)*((AC$4-Hypothèses!$B$59)&lt;Hypothèses!$B$65))+(AC87-0.5*(AC87-AB87))</f>
        <v>9</v>
      </c>
      <c r="AD100" s="39">
        <f>IF(AD$4&lt;Hypothèses!$B$59,0,Hypothèses!$B$57*IF(AD$4=Hypothèses!$B$59,0.5,1)*((AD$4-Hypothèses!$B$59)&lt;Hypothèses!$B$65))+(AD87-0.5*(AD87-AC87))</f>
        <v>9</v>
      </c>
      <c r="AE100" s="39">
        <f>IF(AE$4&lt;Hypothèses!$B$59,0,Hypothèses!$B$57*IF(AE$4=Hypothèses!$B$59,0.5,1)*((AE$4-Hypothèses!$B$59)&lt;Hypothèses!$B$65))+(AE87-0.5*(AE87-AD87))</f>
        <v>9</v>
      </c>
      <c r="AF100" s="39">
        <f>IF(AF$4&lt;Hypothèses!$B$59,0,Hypothèses!$B$57*IF(AF$4=Hypothèses!$B$59,0.5,1)*((AF$4-Hypothèses!$B$59)&lt;Hypothèses!$B$65))+(AF87-0.5*(AF87-AE87))</f>
        <v>9</v>
      </c>
      <c r="AG100" s="39">
        <f>IF(AG$4&lt;Hypothèses!$B$59,0,Hypothèses!$B$57*IF(AG$4=Hypothèses!$B$59,0.5,1)*((AG$4-Hypothèses!$B$59)&lt;Hypothèses!$B$65))+(AG87-0.5*(AG87-AF87))</f>
        <v>9</v>
      </c>
      <c r="AH100" s="39">
        <f>IF(AH$4&lt;Hypothèses!$B$59,0,Hypothèses!$B$57*IF(AH$4=Hypothèses!$B$59,0.5,1)*((AH$4-Hypothèses!$B$59)&lt;Hypothèses!$B$65))+(AH87-0.5*(AH87-AG87))</f>
        <v>9</v>
      </c>
      <c r="AI100" s="39">
        <f>IF(AI$4&lt;Hypothèses!$B$59,0,Hypothèses!$B$57*IF(AI$4=Hypothèses!$B$59,0.5,1)*((AI$4-Hypothèses!$B$59)&lt;Hypothèses!$B$65))+(AI87-0.5*(AI87-AH87))</f>
        <v>9</v>
      </c>
      <c r="AJ100" s="39">
        <f>IF(AJ$4&lt;Hypothèses!$B$59,0,Hypothèses!$B$57*IF(AJ$4=Hypothèses!$B$59,0.5,1)*((AJ$4-Hypothèses!$B$59)&lt;Hypothèses!$B$65))+(AJ87-0.5*(AJ87-AI87))</f>
        <v>9</v>
      </c>
      <c r="AK100" s="39">
        <f>IF(AK$4&lt;Hypothèses!$B$59,0,Hypothèses!$B$57*IF(AK$4=Hypothèses!$B$59,0.5,1)*((AK$4-Hypothèses!$B$59)&lt;Hypothèses!$B$65))+(AK87-0.5*(AK87-AJ87))</f>
        <v>9</v>
      </c>
      <c r="AL100" s="39">
        <f>IF(AL$4&lt;Hypothèses!$B$59,0,Hypothèses!$B$57*IF(AL$4=Hypothèses!$B$59,0.5,1)*((AL$4-Hypothèses!$B$59)&lt;Hypothèses!$B$65))+(AL87-0.5*(AL87-AK87))</f>
        <v>9</v>
      </c>
      <c r="AM100" s="39">
        <f>IF(AM$4&lt;Hypothèses!$B$59,0,Hypothèses!$B$57*IF(AM$4=Hypothèses!$B$59,0.5,1)*((AM$4-Hypothèses!$B$59)&lt;Hypothèses!$B$65))+(AM87-0.5*(AM87-AL87))</f>
        <v>9</v>
      </c>
      <c r="AN100" s="39">
        <f>IF(AN$4&lt;Hypothèses!$B$59,0,Hypothèses!$B$57*IF(AN$4=Hypothèses!$B$59,0.5,1)*((AN$4-Hypothèses!$B$59)&lt;Hypothèses!$B$65))+(AN87-0.5*(AN87-AM87))</f>
        <v>9</v>
      </c>
      <c r="AO100" s="39">
        <f>IF(AO$4&lt;Hypothèses!$B$59,0,Hypothèses!$B$57*IF(AO$4=Hypothèses!$B$59,0.5,1)*((AO$4-Hypothèses!$B$59)&lt;Hypothèses!$B$65))+(AO87-0.5*(AO87-AN87))</f>
        <v>9</v>
      </c>
      <c r="AP100" s="39">
        <f>IF(AP$4&lt;Hypothèses!$B$59,0,Hypothèses!$B$57*IF(AP$4=Hypothèses!$B$59,0.5,1)*((AP$4-Hypothèses!$B$59)&lt;Hypothèses!$B$65))+(AP87-0.5*(AP87-AO87))</f>
        <v>9</v>
      </c>
      <c r="AQ100" s="39">
        <f>IF(AQ$4&lt;Hypothèses!$B$59,0,Hypothèses!$B$57*IF(AQ$4=Hypothèses!$B$59,0.5,1)*((AQ$4-Hypothèses!$B$59)&lt;Hypothèses!$B$65))+(AQ87-0.5*(AQ87-AP87))</f>
        <v>9</v>
      </c>
    </row>
    <row r="101" spans="1:43" x14ac:dyDescent="0.3">
      <c r="A101" s="6" t="s">
        <v>490</v>
      </c>
      <c r="B101" s="22">
        <f t="shared" si="36"/>
        <v>0</v>
      </c>
      <c r="C101" s="22">
        <f t="shared" si="37"/>
        <v>48</v>
      </c>
      <c r="D101" s="22">
        <f t="shared" si="38"/>
        <v>72</v>
      </c>
      <c r="E101" s="22">
        <f t="shared" si="39"/>
        <v>72</v>
      </c>
      <c r="F101" s="22">
        <f t="shared" si="40"/>
        <v>192</v>
      </c>
      <c r="G101" s="39">
        <f>0</f>
        <v>0</v>
      </c>
      <c r="H101" s="39">
        <f>IF(H$4&lt;Hypothèses!$B$59,0,Hypothèses!$B$58*IF(H$4=Hypothèses!$B$59,0.5,1)*((H$4-Hypothèses!$B$59)&lt;Hypothèses!$B$66))+(H88-0.5*(H88-G88))</f>
        <v>1.5</v>
      </c>
      <c r="I101" s="39">
        <f>IF(I$4&lt;Hypothèses!$B$59,0,Hypothèses!$B$58*IF(I$4=Hypothèses!$B$59,0.5,1)*((I$4-Hypothèses!$B$59)&lt;Hypothèses!$B$66))+(I88-0.5*(I88-H88))</f>
        <v>3</v>
      </c>
      <c r="J101" s="39">
        <f>IF(J$4&lt;Hypothèses!$B$59,0,Hypothèses!$B$58*IF(J$4=Hypothèses!$B$59,0.5,1)*((J$4-Hypothèses!$B$59)&lt;Hypothèses!$B$66))+(J88-0.5*(J88-I88))</f>
        <v>3</v>
      </c>
      <c r="K101" s="39">
        <f>IF(K$4&lt;Hypothèses!$B$59,0,Hypothèses!$B$58*IF(K$4=Hypothèses!$B$59,0.5,1)*((K$4-Hypothèses!$B$59)&lt;Hypothèses!$B$66))+(K88-0.5*(K88-J88))</f>
        <v>3</v>
      </c>
      <c r="L101" s="39">
        <f>IF(L$4&lt;Hypothèses!$B$59,0,Hypothèses!$B$58*IF(L$4=Hypothèses!$B$59,0.5,1)*((L$4-Hypothèses!$B$59)&lt;Hypothèses!$B$66))+(L88-0.5*(L88-K88))</f>
        <v>3.5</v>
      </c>
      <c r="M101" s="39">
        <f>IF(M$4&lt;Hypothèses!$B$59,0,Hypothèses!$B$58*IF(M$4=Hypothèses!$B$59,0.5,1)*((M$4-Hypothèses!$B$59)&lt;Hypothèses!$B$66))+(M88-0.5*(M88-L88))</f>
        <v>4</v>
      </c>
      <c r="N101" s="39">
        <f>IF(N$4&lt;Hypothèses!$B$59,0,Hypothèses!$B$58*IF(N$4=Hypothèses!$B$59,0.5,1)*((N$4-Hypothèses!$B$59)&lt;Hypothèses!$B$66))+(N88-0.5*(N88-M88))</f>
        <v>4</v>
      </c>
      <c r="O101" s="39">
        <f>IF(O$4&lt;Hypothèses!$B$59,0,Hypothèses!$B$58*IF(O$4=Hypothèses!$B$59,0.5,1)*((O$4-Hypothèses!$B$59)&lt;Hypothèses!$B$66))+(O88-0.5*(O88-N88))</f>
        <v>4.5</v>
      </c>
      <c r="P101" s="39">
        <f>IF(P$4&lt;Hypothèses!$B$59,0,Hypothèses!$B$58*IF(P$4=Hypothèses!$B$59,0.5,1)*((P$4-Hypothèses!$B$59)&lt;Hypothèses!$B$66))+(P88-0.5*(P88-O88))</f>
        <v>5</v>
      </c>
      <c r="Q101" s="39">
        <f>IF(Q$4&lt;Hypothèses!$B$59,0,Hypothèses!$B$58*IF(Q$4=Hypothèses!$B$59,0.5,1)*((Q$4-Hypothèses!$B$59)&lt;Hypothèses!$B$66))+(Q88-0.5*(Q88-P88))</f>
        <v>5</v>
      </c>
      <c r="R101" s="39">
        <f>IF(R$4&lt;Hypothèses!$B$59,0,Hypothèses!$B$58*IF(R$4=Hypothèses!$B$59,0.5,1)*((R$4-Hypothèses!$B$59)&lt;Hypothèses!$B$66))+(R88-0.5*(R88-Q88))</f>
        <v>5.5</v>
      </c>
      <c r="S101" s="39">
        <f>IF(S$4&lt;Hypothèses!$B$59,0,Hypothèses!$B$58*IF(S$4=Hypothèses!$B$59,0.5,1)*((S$4-Hypothèses!$B$59)&lt;Hypothèses!$B$66))+(S88-0.5*(S88-R88))</f>
        <v>6</v>
      </c>
      <c r="T101" s="39">
        <f>IF(T$4&lt;Hypothèses!$B$59,0,Hypothèses!$B$58*IF(T$4=Hypothèses!$B$59,0.5,1)*((T$4-Hypothèses!$B$59)&lt;Hypothèses!$B$66))+(T88-0.5*(T88-S88))</f>
        <v>6</v>
      </c>
      <c r="U101" s="39">
        <f>IF(U$4&lt;Hypothèses!$B$59,0,Hypothèses!$B$58*IF(U$4=Hypothèses!$B$59,0.5,1)*((U$4-Hypothèses!$B$59)&lt;Hypothèses!$B$66))+(U88-0.5*(U88-T88))</f>
        <v>6</v>
      </c>
      <c r="V101" s="39">
        <f>IF(V$4&lt;Hypothèses!$B$59,0,Hypothèses!$B$58*IF(V$4=Hypothèses!$B$59,0.5,1)*((V$4-Hypothèses!$B$59)&lt;Hypothèses!$B$66))+(V88-0.5*(V88-U88))</f>
        <v>6</v>
      </c>
      <c r="W101" s="39">
        <f>IF(W$4&lt;Hypothèses!$B$59,0,Hypothèses!$B$58*IF(W$4=Hypothèses!$B$59,0.5,1)*((W$4-Hypothèses!$B$59)&lt;Hypothèses!$B$66))+(W88-0.5*(W88-V88))</f>
        <v>6</v>
      </c>
      <c r="X101" s="39">
        <f>IF(X$4&lt;Hypothèses!$B$59,0,Hypothèses!$B$58*IF(X$4=Hypothèses!$B$59,0.5,1)*((X$4-Hypothèses!$B$59)&lt;Hypothèses!$B$66))+(X88-0.5*(X88-W88))</f>
        <v>6</v>
      </c>
      <c r="Y101" s="39">
        <f>IF(Y$4&lt;Hypothèses!$B$59,0,Hypothèses!$B$58*IF(Y$4=Hypothèses!$B$59,0.5,1)*((Y$4-Hypothèses!$B$59)&lt;Hypothèses!$B$66))+(Y88-0.5*(Y88-X88))</f>
        <v>6</v>
      </c>
      <c r="Z101" s="39">
        <f>IF(Z$4&lt;Hypothèses!$B$59,0,Hypothèses!$B$58*IF(Z$4=Hypothèses!$B$59,0.5,1)*((Z$4-Hypothèses!$B$59)&lt;Hypothèses!$B$66))+(Z88-0.5*(Z88-Y88))</f>
        <v>6</v>
      </c>
      <c r="AA101" s="39">
        <f>IF(AA$4&lt;Hypothèses!$B$59,0,Hypothèses!$B$58*IF(AA$4=Hypothèses!$B$59,0.5,1)*((AA$4-Hypothèses!$B$59)&lt;Hypothèses!$B$66))+(AA88-0.5*(AA88-Z88))</f>
        <v>6</v>
      </c>
      <c r="AB101" s="39">
        <f>IF(AB$4&lt;Hypothèses!$B$59,0,Hypothèses!$B$58*IF(AB$4=Hypothèses!$B$59,0.5,1)*((AB$4-Hypothèses!$B$59)&lt;Hypothèses!$B$66))+(AB88-0.5*(AB88-AA88))</f>
        <v>6</v>
      </c>
      <c r="AC101" s="39">
        <f>IF(AC$4&lt;Hypothèses!$B$59,0,Hypothèses!$B$58*IF(AC$4=Hypothèses!$B$59,0.5,1)*((AC$4-Hypothèses!$B$59)&lt;Hypothèses!$B$66))+(AC88-0.5*(AC88-AB88))</f>
        <v>6</v>
      </c>
      <c r="AD101" s="39">
        <f>IF(AD$4&lt;Hypothèses!$B$59,0,Hypothèses!$B$58*IF(AD$4=Hypothèses!$B$59,0.5,1)*((AD$4-Hypothèses!$B$59)&lt;Hypothèses!$B$66))+(AD88-0.5*(AD88-AC88))</f>
        <v>6</v>
      </c>
      <c r="AE101" s="39">
        <f>IF(AE$4&lt;Hypothèses!$B$59,0,Hypothèses!$B$58*IF(AE$4=Hypothèses!$B$59,0.5,1)*((AE$4-Hypothèses!$B$59)&lt;Hypothèses!$B$66))+(AE88-0.5*(AE88-AD88))</f>
        <v>6</v>
      </c>
      <c r="AF101" s="39">
        <f>IF(AF$4&lt;Hypothèses!$B$59,0,Hypothèses!$B$58*IF(AF$4=Hypothèses!$B$59,0.5,1)*((AF$4-Hypothèses!$B$59)&lt;Hypothèses!$B$66))+(AF88-0.5*(AF88-AE88))</f>
        <v>6</v>
      </c>
      <c r="AG101" s="39">
        <f>IF(AG$4&lt;Hypothèses!$B$59,0,Hypothèses!$B$58*IF(AG$4=Hypothèses!$B$59,0.5,1)*((AG$4-Hypothèses!$B$59)&lt;Hypothèses!$B$66))+(AG88-0.5*(AG88-AF88))</f>
        <v>6</v>
      </c>
      <c r="AH101" s="39">
        <f>IF(AH$4&lt;Hypothèses!$B$59,0,Hypothèses!$B$58*IF(AH$4=Hypothèses!$B$59,0.5,1)*((AH$4-Hypothèses!$B$59)&lt;Hypothèses!$B$66))+(AH88-0.5*(AH88-AG88))</f>
        <v>6</v>
      </c>
      <c r="AI101" s="39">
        <f>IF(AI$4&lt;Hypothèses!$B$59,0,Hypothèses!$B$58*IF(AI$4=Hypothèses!$B$59,0.5,1)*((AI$4-Hypothèses!$B$59)&lt;Hypothèses!$B$66))+(AI88-0.5*(AI88-AH88))</f>
        <v>6</v>
      </c>
      <c r="AJ101" s="39">
        <f>IF(AJ$4&lt;Hypothèses!$B$59,0,Hypothèses!$B$58*IF(AJ$4=Hypothèses!$B$59,0.5,1)*((AJ$4-Hypothèses!$B$59)&lt;Hypothèses!$B$66))+(AJ88-0.5*(AJ88-AI88))</f>
        <v>6</v>
      </c>
      <c r="AK101" s="39">
        <f>IF(AK$4&lt;Hypothèses!$B$59,0,Hypothèses!$B$58*IF(AK$4=Hypothèses!$B$59,0.5,1)*((AK$4-Hypothèses!$B$59)&lt;Hypothèses!$B$66))+(AK88-0.5*(AK88-AJ88))</f>
        <v>6</v>
      </c>
      <c r="AL101" s="39">
        <f>IF(AL$4&lt;Hypothèses!$B$59,0,Hypothèses!$B$58*IF(AL$4=Hypothèses!$B$59,0.5,1)*((AL$4-Hypothèses!$B$59)&lt;Hypothèses!$B$66))+(AL88-0.5*(AL88-AK88))</f>
        <v>6</v>
      </c>
      <c r="AM101" s="39">
        <f>IF(AM$4&lt;Hypothèses!$B$59,0,Hypothèses!$B$58*IF(AM$4=Hypothèses!$B$59,0.5,1)*((AM$4-Hypothèses!$B$59)&lt;Hypothèses!$B$66))+(AM88-0.5*(AM88-AL88))</f>
        <v>6</v>
      </c>
      <c r="AN101" s="39">
        <f>IF(AN$4&lt;Hypothèses!$B$59,0,Hypothèses!$B$58*IF(AN$4=Hypothèses!$B$59,0.5,1)*((AN$4-Hypothèses!$B$59)&lt;Hypothèses!$B$66))+(AN88-0.5*(AN88-AM88))</f>
        <v>6</v>
      </c>
      <c r="AO101" s="39">
        <f>IF(AO$4&lt;Hypothèses!$B$59,0,Hypothèses!$B$58*IF(AO$4=Hypothèses!$B$59,0.5,1)*((AO$4-Hypothèses!$B$59)&lt;Hypothèses!$B$66))+(AO88-0.5*(AO88-AN88))</f>
        <v>6</v>
      </c>
      <c r="AP101" s="39">
        <f>IF(AP$4&lt;Hypothèses!$B$59,0,Hypothèses!$B$58*IF(AP$4=Hypothèses!$B$59,0.5,1)*((AP$4-Hypothèses!$B$59)&lt;Hypothèses!$B$66))+(AP88-0.5*(AP88-AO88))</f>
        <v>6</v>
      </c>
      <c r="AQ101" s="39">
        <f>IF(AQ$4&lt;Hypothèses!$B$59,0,Hypothèses!$B$58*IF(AQ$4=Hypothèses!$B$59,0.5,1)*((AQ$4-Hypothèses!$B$59)&lt;Hypothèses!$B$66))+(AQ88-0.5*(AQ88-AP88))</f>
        <v>6</v>
      </c>
    </row>
    <row r="102" spans="1:43" x14ac:dyDescent="0.3">
      <c r="A102" s="6" t="s">
        <v>491</v>
      </c>
      <c r="B102" s="22">
        <f t="shared" si="36"/>
        <v>0</v>
      </c>
      <c r="C102" s="22">
        <f t="shared" si="37"/>
        <v>5187000</v>
      </c>
      <c r="D102" s="22">
        <f t="shared" si="38"/>
        <v>4992000</v>
      </c>
      <c r="E102" s="22">
        <f t="shared" si="39"/>
        <v>4680000</v>
      </c>
      <c r="F102" s="22">
        <f t="shared" si="40"/>
        <v>14859000</v>
      </c>
      <c r="G102" s="22">
        <f>0</f>
        <v>0</v>
      </c>
      <c r="H102" s="22">
        <f>Hypothèses!$B$103*Hypothèses!$B$47*(H98+H99+H100+H101)</f>
        <v>195000</v>
      </c>
      <c r="I102" s="22">
        <f>Hypothèses!$B$103*Hypothèses!$B$47*(I98+I99+I100+I101)</f>
        <v>390000</v>
      </c>
      <c r="J102" s="22">
        <f>Hypothèses!$B$103*Hypothèses!$B$47*(J98+J99+J100+J101)</f>
        <v>390000</v>
      </c>
      <c r="K102" s="22">
        <f>Hypothèses!$B$103*Hypothèses!$B$47*(K98+K99+K100+K101)</f>
        <v>390000</v>
      </c>
      <c r="L102" s="22">
        <f>Hypothèses!$B$103*Hypothèses!$B$47*(L98+L99+L100+L101)</f>
        <v>416000</v>
      </c>
      <c r="M102" s="22">
        <f>Hypothèses!$B$103*Hypothèses!$B$47*(M98+M99+M100+M101)</f>
        <v>442000</v>
      </c>
      <c r="N102" s="22">
        <f>Hypothèses!$B$103*Hypothèses!$B$47*(N98+N99+N100+N101)</f>
        <v>442000</v>
      </c>
      <c r="O102" s="22">
        <f>Hypothèses!$B$103*Hypothèses!$B$47*(O98+O99+O100+O101)</f>
        <v>468000</v>
      </c>
      <c r="P102" s="22">
        <f>Hypothèses!$B$103*Hypothèses!$B$47*(P98+P99+P100+P101)</f>
        <v>494000</v>
      </c>
      <c r="Q102" s="22">
        <f>Hypothèses!$B$103*Hypothèses!$B$47*(Q98+Q99+Q100+Q101)</f>
        <v>494000</v>
      </c>
      <c r="R102" s="22">
        <f>Hypothèses!$B$103*Hypothèses!$B$47*(R98+R99+R100+R101)</f>
        <v>520000</v>
      </c>
      <c r="S102" s="22">
        <f>Hypothèses!$B$103*Hypothèses!$B$47*(S98+S99+S100+S101)</f>
        <v>546000</v>
      </c>
      <c r="T102" s="22">
        <f>Hypothèses!$B$103*Hypothèses!$B$47*(T98+T99+T100+T101)</f>
        <v>416000</v>
      </c>
      <c r="U102" s="22">
        <f>Hypothèses!$B$103*Hypothèses!$B$47*(U98+U99+U100+U101)</f>
        <v>416000</v>
      </c>
      <c r="V102" s="22">
        <f>Hypothèses!$B$103*Hypothèses!$B$47*(V98+V99+V100+V101)</f>
        <v>416000</v>
      </c>
      <c r="W102" s="22">
        <f>Hypothèses!$B$103*Hypothèses!$B$47*(W98+W99+W100+W101)</f>
        <v>416000</v>
      </c>
      <c r="X102" s="22">
        <f>Hypothèses!$B$103*Hypothèses!$B$47*(X98+X99+X100+X101)</f>
        <v>416000</v>
      </c>
      <c r="Y102" s="22">
        <f>Hypothèses!$B$103*Hypothèses!$B$47*(Y98+Y99+Y100+Y101)</f>
        <v>416000</v>
      </c>
      <c r="Z102" s="22">
        <f>Hypothèses!$B$103*Hypothèses!$B$47*(Z98+Z99+Z100+Z101)</f>
        <v>416000</v>
      </c>
      <c r="AA102" s="22">
        <f>Hypothèses!$B$103*Hypothèses!$B$47*(AA98+AA99+AA100+AA101)</f>
        <v>416000</v>
      </c>
      <c r="AB102" s="22">
        <f>Hypothèses!$B$103*Hypothèses!$B$47*(AB98+AB99+AB100+AB101)</f>
        <v>416000</v>
      </c>
      <c r="AC102" s="22">
        <f>Hypothèses!$B$103*Hypothèses!$B$47*(AC98+AC99+AC100+AC101)</f>
        <v>416000</v>
      </c>
      <c r="AD102" s="22">
        <f>Hypothèses!$B$103*Hypothèses!$B$47*(AD98+AD99+AD100+AD101)</f>
        <v>416000</v>
      </c>
      <c r="AE102" s="22">
        <f>Hypothèses!$B$103*Hypothèses!$B$47*(AE98+AE99+AE100+AE101)</f>
        <v>416000</v>
      </c>
      <c r="AF102" s="22">
        <f>Hypothèses!$B$103*Hypothèses!$B$47*(AF98+AF99+AF100+AF101)</f>
        <v>390000</v>
      </c>
      <c r="AG102" s="22">
        <f>Hypothèses!$B$103*Hypothèses!$B$47*(AG98+AG99+AG100+AG101)</f>
        <v>390000</v>
      </c>
      <c r="AH102" s="22">
        <f>Hypothèses!$B$103*Hypothèses!$B$47*(AH98+AH99+AH100+AH101)</f>
        <v>390000</v>
      </c>
      <c r="AI102" s="22">
        <f>Hypothèses!$B$103*Hypothèses!$B$47*(AI98+AI99+AI100+AI101)</f>
        <v>390000</v>
      </c>
      <c r="AJ102" s="22">
        <f>Hypothèses!$B$103*Hypothèses!$B$47*(AJ98+AJ99+AJ100+AJ101)</f>
        <v>390000</v>
      </c>
      <c r="AK102" s="22">
        <f>Hypothèses!$B$103*Hypothèses!$B$47*(AK98+AK99+AK100+AK101)</f>
        <v>390000</v>
      </c>
      <c r="AL102" s="22">
        <f>Hypothèses!$B$103*Hypothèses!$B$47*(AL98+AL99+AL100+AL101)</f>
        <v>390000</v>
      </c>
      <c r="AM102" s="22">
        <f>Hypothèses!$B$103*Hypothèses!$B$47*(AM98+AM99+AM100+AM101)</f>
        <v>390000</v>
      </c>
      <c r="AN102" s="22">
        <f>Hypothèses!$B$103*Hypothèses!$B$47*(AN98+AN99+AN100+AN101)</f>
        <v>390000</v>
      </c>
      <c r="AO102" s="22">
        <f>Hypothèses!$B$103*Hypothèses!$B$47*(AO98+AO99+AO100+AO101)</f>
        <v>390000</v>
      </c>
      <c r="AP102" s="22">
        <f>Hypothèses!$B$103*Hypothèses!$B$47*(AP98+AP99+AP100+AP101)</f>
        <v>390000</v>
      </c>
      <c r="AQ102" s="22">
        <f>Hypothèses!$B$103*Hypothèses!$B$47*(AQ98+AQ99+AQ100+AQ101)</f>
        <v>390000</v>
      </c>
    </row>
    <row r="103" spans="1:43" x14ac:dyDescent="0.3">
      <c r="A103" s="6" t="s">
        <v>492</v>
      </c>
      <c r="B103" s="22">
        <f t="shared" si="36"/>
        <v>0</v>
      </c>
      <c r="C103" s="22">
        <f t="shared" si="37"/>
        <v>5</v>
      </c>
      <c r="D103" s="22">
        <f t="shared" si="38"/>
        <v>0</v>
      </c>
      <c r="E103" s="22">
        <f t="shared" si="39"/>
        <v>0</v>
      </c>
      <c r="F103" s="22">
        <f t="shared" si="40"/>
        <v>5</v>
      </c>
      <c r="G103" s="22">
        <f>0</f>
        <v>0</v>
      </c>
      <c r="H103" s="22">
        <f t="shared" ref="H103:AQ103" si="41">N(H8)+(H90-G90)</f>
        <v>5</v>
      </c>
      <c r="I103" s="22">
        <f t="shared" si="41"/>
        <v>0</v>
      </c>
      <c r="J103" s="22">
        <f t="shared" si="41"/>
        <v>0</v>
      </c>
      <c r="K103" s="22">
        <f t="shared" si="41"/>
        <v>0</v>
      </c>
      <c r="L103" s="22">
        <f t="shared" si="41"/>
        <v>0</v>
      </c>
      <c r="M103" s="22">
        <f t="shared" si="41"/>
        <v>0</v>
      </c>
      <c r="N103" s="22">
        <f t="shared" si="41"/>
        <v>0</v>
      </c>
      <c r="O103" s="22">
        <f t="shared" si="41"/>
        <v>0</v>
      </c>
      <c r="P103" s="22">
        <f t="shared" si="41"/>
        <v>0</v>
      </c>
      <c r="Q103" s="22">
        <f t="shared" si="41"/>
        <v>0</v>
      </c>
      <c r="R103" s="22">
        <f t="shared" si="41"/>
        <v>0</v>
      </c>
      <c r="S103" s="22">
        <f t="shared" si="41"/>
        <v>0</v>
      </c>
      <c r="T103" s="22">
        <f t="shared" si="41"/>
        <v>0</v>
      </c>
      <c r="U103" s="22">
        <f t="shared" si="41"/>
        <v>0</v>
      </c>
      <c r="V103" s="22">
        <f t="shared" si="41"/>
        <v>0</v>
      </c>
      <c r="W103" s="22">
        <f t="shared" si="41"/>
        <v>0</v>
      </c>
      <c r="X103" s="22">
        <f t="shared" si="41"/>
        <v>0</v>
      </c>
      <c r="Y103" s="22">
        <f t="shared" si="41"/>
        <v>0</v>
      </c>
      <c r="Z103" s="22">
        <f t="shared" si="41"/>
        <v>0</v>
      </c>
      <c r="AA103" s="22">
        <f t="shared" si="41"/>
        <v>0</v>
      </c>
      <c r="AB103" s="22">
        <f t="shared" si="41"/>
        <v>0</v>
      </c>
      <c r="AC103" s="22">
        <f t="shared" si="41"/>
        <v>0</v>
      </c>
      <c r="AD103" s="22">
        <f t="shared" si="41"/>
        <v>0</v>
      </c>
      <c r="AE103" s="22">
        <f t="shared" si="41"/>
        <v>0</v>
      </c>
      <c r="AF103" s="22">
        <f t="shared" si="41"/>
        <v>0</v>
      </c>
      <c r="AG103" s="22">
        <f t="shared" si="41"/>
        <v>0</v>
      </c>
      <c r="AH103" s="22">
        <f t="shared" si="41"/>
        <v>0</v>
      </c>
      <c r="AI103" s="22">
        <f t="shared" si="41"/>
        <v>0</v>
      </c>
      <c r="AJ103" s="22">
        <f t="shared" si="41"/>
        <v>0</v>
      </c>
      <c r="AK103" s="22">
        <f t="shared" si="41"/>
        <v>0</v>
      </c>
      <c r="AL103" s="22">
        <f t="shared" si="41"/>
        <v>0</v>
      </c>
      <c r="AM103" s="22">
        <f t="shared" si="41"/>
        <v>0</v>
      </c>
      <c r="AN103" s="22">
        <f t="shared" si="41"/>
        <v>0</v>
      </c>
      <c r="AO103" s="22">
        <f t="shared" si="41"/>
        <v>0</v>
      </c>
      <c r="AP103" s="22">
        <f t="shared" si="41"/>
        <v>0</v>
      </c>
      <c r="AQ103" s="22">
        <f t="shared" si="41"/>
        <v>0</v>
      </c>
    </row>
    <row r="104" spans="1:43" x14ac:dyDescent="0.3">
      <c r="A104" s="6" t="s">
        <v>493</v>
      </c>
      <c r="B104" s="22">
        <f t="shared" si="36"/>
        <v>0</v>
      </c>
      <c r="C104" s="22">
        <f t="shared" si="37"/>
        <v>16</v>
      </c>
      <c r="D104" s="22">
        <f t="shared" si="38"/>
        <v>0</v>
      </c>
      <c r="E104" s="22">
        <f t="shared" si="39"/>
        <v>0</v>
      </c>
      <c r="F104" s="22">
        <f t="shared" si="40"/>
        <v>16</v>
      </c>
      <c r="G104" s="22">
        <f>0</f>
        <v>0</v>
      </c>
      <c r="H104" s="22">
        <f>N(H7)+(H89-G89)+IF(H$4=Hypothèses!$B$59,Hypothèses!$B$57+Hypothèses!$B$58,0)+(H87-G87)+(H88-G88)</f>
        <v>10</v>
      </c>
      <c r="I104" s="22">
        <f>N(I7)+(I89-H89)+IF(I$4=Hypothèses!$B$59,Hypothèses!$B$57+Hypothèses!$B$58,0)+(I87-H87)+(I88-H88)</f>
        <v>0</v>
      </c>
      <c r="J104" s="22">
        <f>N(J7)+(J89-I89)+IF(J$4=Hypothèses!$B$59,Hypothèses!$B$57+Hypothèses!$B$58,0)+(J87-I87)+(J88-I88)</f>
        <v>0</v>
      </c>
      <c r="K104" s="22">
        <f>N(K7)+(K89-J89)+IF(K$4=Hypothèses!$B$59,Hypothèses!$B$57+Hypothèses!$B$58,0)+(K87-J87)+(K88-J88)</f>
        <v>0</v>
      </c>
      <c r="L104" s="22">
        <f>N(L7)+(L89-K89)+IF(L$4=Hypothèses!$B$59,Hypothèses!$B$57+Hypothèses!$B$58,0)+(L87-K87)+(L88-K88)</f>
        <v>2</v>
      </c>
      <c r="M104" s="22">
        <f>N(M7)+(M89-L89)+IF(M$4=Hypothèses!$B$59,Hypothèses!$B$57+Hypothèses!$B$58,0)+(M87-L87)+(M88-L88)</f>
        <v>0</v>
      </c>
      <c r="N104" s="22">
        <f>N(N7)+(N89-M89)+IF(N$4=Hypothèses!$B$59,Hypothèses!$B$57+Hypothèses!$B$58,0)+(N87-M87)+(N88-M88)</f>
        <v>0</v>
      </c>
      <c r="O104" s="22">
        <f>N(O7)+(O89-N89)+IF(O$4=Hypothèses!$B$59,Hypothèses!$B$57+Hypothèses!$B$58,0)+(O87-N87)+(O88-N88)</f>
        <v>2</v>
      </c>
      <c r="P104" s="22">
        <f>N(P7)+(P89-O89)+IF(P$4=Hypothèses!$B$59,Hypothèses!$B$57+Hypothèses!$B$58,0)+(P87-O87)+(P88-O88)</f>
        <v>0</v>
      </c>
      <c r="Q104" s="22">
        <f>N(Q7)+(Q89-P89)+IF(Q$4=Hypothèses!$B$59,Hypothèses!$B$57+Hypothèses!$B$58,0)+(Q87-P87)+(Q88-P88)</f>
        <v>0</v>
      </c>
      <c r="R104" s="22">
        <f>N(R7)+(R89-Q89)+IF(R$4=Hypothèses!$B$59,Hypothèses!$B$57+Hypothèses!$B$58,0)+(R87-Q87)+(R88-Q88)</f>
        <v>2</v>
      </c>
      <c r="S104" s="22">
        <f>N(S7)+(S89-R89)+IF(S$4=Hypothèses!$B$59,Hypothèses!$B$57+Hypothèses!$B$58,0)+(S87-R87)+(S88-R88)</f>
        <v>0</v>
      </c>
      <c r="T104" s="22">
        <f>N(T7)+(T89-S89)+IF(T$4=Hypothèses!$B$59,Hypothèses!$B$57+Hypothèses!$B$58,0)+(T87-S87)+(T88-S88)</f>
        <v>0</v>
      </c>
      <c r="U104" s="22">
        <f>N(U7)+(U89-T89)+IF(U$4=Hypothèses!$B$59,Hypothèses!$B$57+Hypothèses!$B$58,0)+(U87-T87)+(U88-T88)</f>
        <v>0</v>
      </c>
      <c r="V104" s="22">
        <f>N(V7)+(V89-U89)+IF(V$4=Hypothèses!$B$59,Hypothèses!$B$57+Hypothèses!$B$58,0)+(V87-U87)+(V88-U88)</f>
        <v>0</v>
      </c>
      <c r="W104" s="22">
        <f>N(W7)+(W89-V89)+IF(W$4=Hypothèses!$B$59,Hypothèses!$B$57+Hypothèses!$B$58,0)+(W87-V87)+(W88-V88)</f>
        <v>0</v>
      </c>
      <c r="X104" s="22">
        <f>N(X7)+(X89-W89)+IF(X$4=Hypothèses!$B$59,Hypothèses!$B$57+Hypothèses!$B$58,0)+(X87-W87)+(X88-W88)</f>
        <v>0</v>
      </c>
      <c r="Y104" s="22">
        <f>N(Y7)+(Y89-X89)+IF(Y$4=Hypothèses!$B$59,Hypothèses!$B$57+Hypothèses!$B$58,0)+(Y87-X87)+(Y88-X88)</f>
        <v>0</v>
      </c>
      <c r="Z104" s="22">
        <f>N(Z7)+(Z89-Y89)+IF(Z$4=Hypothèses!$B$59,Hypothèses!$B$57+Hypothèses!$B$58,0)+(Z87-Y87)+(Z88-Y88)</f>
        <v>0</v>
      </c>
      <c r="AA104" s="22">
        <f>N(AA7)+(AA89-Z89)+IF(AA$4=Hypothèses!$B$59,Hypothèses!$B$57+Hypothèses!$B$58,0)+(AA87-Z87)+(AA88-Z88)</f>
        <v>0</v>
      </c>
      <c r="AB104" s="22">
        <f>N(AB7)+(AB89-AA89)+IF(AB$4=Hypothèses!$B$59,Hypothèses!$B$57+Hypothèses!$B$58,0)+(AB87-AA87)+(AB88-AA88)</f>
        <v>0</v>
      </c>
      <c r="AC104" s="22">
        <f>N(AC7)+(AC89-AB89)+IF(AC$4=Hypothèses!$B$59,Hypothèses!$B$57+Hypothèses!$B$58,0)+(AC87-AB87)+(AC88-AB88)</f>
        <v>0</v>
      </c>
      <c r="AD104" s="22">
        <f>N(AD7)+(AD89-AC89)+IF(AD$4=Hypothèses!$B$59,Hypothèses!$B$57+Hypothèses!$B$58,0)+(AD87-AC87)+(AD88-AC88)</f>
        <v>0</v>
      </c>
      <c r="AE104" s="22">
        <f>N(AE7)+(AE89-AD89)+IF(AE$4=Hypothèses!$B$59,Hypothèses!$B$57+Hypothèses!$B$58,0)+(AE87-AD87)+(AE88-AD88)</f>
        <v>0</v>
      </c>
      <c r="AF104" s="22">
        <f>N(AF7)+(AF89-AE89)+IF(AF$4=Hypothèses!$B$59,Hypothèses!$B$57+Hypothèses!$B$58,0)+(AF87-AE87)+(AF88-AE88)</f>
        <v>0</v>
      </c>
      <c r="AG104" s="22">
        <f>N(AG7)+(AG89-AF89)+IF(AG$4=Hypothèses!$B$59,Hypothèses!$B$57+Hypothèses!$B$58,0)+(AG87-AF87)+(AG88-AF88)</f>
        <v>0</v>
      </c>
      <c r="AH104" s="22">
        <f>N(AH7)+(AH89-AG89)+IF(AH$4=Hypothèses!$B$59,Hypothèses!$B$57+Hypothèses!$B$58,0)+(AH87-AG87)+(AH88-AG88)</f>
        <v>0</v>
      </c>
      <c r="AI104" s="22">
        <f>N(AI7)+(AI89-AH89)+IF(AI$4=Hypothèses!$B$59,Hypothèses!$B$57+Hypothèses!$B$58,0)+(AI87-AH87)+(AI88-AH88)</f>
        <v>0</v>
      </c>
      <c r="AJ104" s="22">
        <f>N(AJ7)+(AJ89-AI89)+IF(AJ$4=Hypothèses!$B$59,Hypothèses!$B$57+Hypothèses!$B$58,0)+(AJ87-AI87)+(AJ88-AI88)</f>
        <v>0</v>
      </c>
      <c r="AK104" s="22">
        <f>N(AK7)+(AK89-AJ89)+IF(AK$4=Hypothèses!$B$59,Hypothèses!$B$57+Hypothèses!$B$58,0)+(AK87-AJ87)+(AK88-AJ88)</f>
        <v>0</v>
      </c>
      <c r="AL104" s="22">
        <f>N(AL7)+(AL89-AK89)+IF(AL$4=Hypothèses!$B$59,Hypothèses!$B$57+Hypothèses!$B$58,0)+(AL87-AK87)+(AL88-AK88)</f>
        <v>0</v>
      </c>
      <c r="AM104" s="22">
        <f>N(AM7)+(AM89-AL89)+IF(AM$4=Hypothèses!$B$59,Hypothèses!$B$57+Hypothèses!$B$58,0)+(AM87-AL87)+(AM88-AL88)</f>
        <v>0</v>
      </c>
      <c r="AN104" s="22">
        <f>N(AN7)+(AN89-AM89)+IF(AN$4=Hypothèses!$B$59,Hypothèses!$B$57+Hypothèses!$B$58,0)+(AN87-AM87)+(AN88-AM88)</f>
        <v>0</v>
      </c>
      <c r="AO104" s="22">
        <f>N(AO7)+(AO89-AN89)+IF(AO$4=Hypothèses!$B$59,Hypothèses!$B$57+Hypothèses!$B$58,0)+(AO87-AN87)+(AO88-AN88)</f>
        <v>0</v>
      </c>
      <c r="AP104" s="22">
        <f>N(AP7)+(AP89-AO89)+IF(AP$4=Hypothèses!$B$59,Hypothèses!$B$57+Hypothèses!$B$58,0)+(AP87-AO87)+(AP88-AO88)</f>
        <v>0</v>
      </c>
      <c r="AQ104" s="22">
        <f>N(AQ7)+(AQ89-AP89)+IF(AQ$4=Hypothèses!$B$59,Hypothèses!$B$57+Hypothèses!$B$58,0)+(AQ87-AP87)+(AQ88-AP88)</f>
        <v>0</v>
      </c>
    </row>
    <row r="105" spans="1:43" x14ac:dyDescent="0.3">
      <c r="A105" s="6" t="s">
        <v>494</v>
      </c>
      <c r="B105" s="22">
        <f t="shared" si="36"/>
        <v>0</v>
      </c>
      <c r="C105" s="22">
        <f t="shared" si="37"/>
        <v>0</v>
      </c>
      <c r="D105" s="22">
        <f t="shared" si="38"/>
        <v>145000</v>
      </c>
      <c r="E105" s="22">
        <f t="shared" si="39"/>
        <v>768000</v>
      </c>
      <c r="F105" s="22">
        <f t="shared" si="40"/>
        <v>913000</v>
      </c>
      <c r="G105" s="22">
        <f>0</f>
        <v>0</v>
      </c>
      <c r="H105" s="22">
        <f>Hypothèses!$B$104*SUMPRODUCT($G$103:$AQ$103*($G$4:$AQ$4=H$4-12))+Hypothèses!$B$105*SUMPRODUCT($G$104:$AQ$104*($G$4:$AQ$4=H$4-24))</f>
        <v>0</v>
      </c>
      <c r="I105" s="22">
        <f>Hypothèses!$B$104*SUMPRODUCT($G$103:$AQ$103*($G$4:$AQ$4=I$4-12))+Hypothèses!$B$105*SUMPRODUCT($G$104:$AQ$104*($G$4:$AQ$4=I$4-24))</f>
        <v>0</v>
      </c>
      <c r="J105" s="22">
        <f>Hypothèses!$B$104*SUMPRODUCT($G$103:$AQ$103*($G$4:$AQ$4=J$4-12))+Hypothèses!$B$105*SUMPRODUCT($G$104:$AQ$104*($G$4:$AQ$4=J$4-24))</f>
        <v>0</v>
      </c>
      <c r="K105" s="22">
        <f>Hypothèses!$B$104*SUMPRODUCT($G$103:$AQ$103*($G$4:$AQ$4=K$4-12))+Hypothèses!$B$105*SUMPRODUCT($G$104:$AQ$104*($G$4:$AQ$4=K$4-24))</f>
        <v>0</v>
      </c>
      <c r="L105" s="22">
        <f>Hypothèses!$B$104*SUMPRODUCT($G$103:$AQ$103*($G$4:$AQ$4=L$4-12))+Hypothèses!$B$105*SUMPRODUCT($G$104:$AQ$104*($G$4:$AQ$4=L$4-24))</f>
        <v>0</v>
      </c>
      <c r="M105" s="22">
        <f>Hypothèses!$B$104*SUMPRODUCT($G$103:$AQ$103*($G$4:$AQ$4=M$4-12))+Hypothèses!$B$105*SUMPRODUCT($G$104:$AQ$104*($G$4:$AQ$4=M$4-24))</f>
        <v>0</v>
      </c>
      <c r="N105" s="22">
        <f>Hypothèses!$B$104*SUMPRODUCT($G$103:$AQ$103*($G$4:$AQ$4=N$4-12))+Hypothèses!$B$105*SUMPRODUCT($G$104:$AQ$104*($G$4:$AQ$4=N$4-24))</f>
        <v>0</v>
      </c>
      <c r="O105" s="22">
        <f>Hypothèses!$B$104*SUMPRODUCT($G$103:$AQ$103*($G$4:$AQ$4=O$4-12))+Hypothèses!$B$105*SUMPRODUCT($G$104:$AQ$104*($G$4:$AQ$4=O$4-24))</f>
        <v>0</v>
      </c>
      <c r="P105" s="22">
        <f>Hypothèses!$B$104*SUMPRODUCT($G$103:$AQ$103*($G$4:$AQ$4=P$4-12))+Hypothèses!$B$105*SUMPRODUCT($G$104:$AQ$104*($G$4:$AQ$4=P$4-24))</f>
        <v>0</v>
      </c>
      <c r="Q105" s="22">
        <f>Hypothèses!$B$104*SUMPRODUCT($G$103:$AQ$103*($G$4:$AQ$4=Q$4-12))+Hypothèses!$B$105*SUMPRODUCT($G$104:$AQ$104*($G$4:$AQ$4=Q$4-24))</f>
        <v>0</v>
      </c>
      <c r="R105" s="22">
        <f>Hypothèses!$B$104*SUMPRODUCT($G$103:$AQ$103*($G$4:$AQ$4=R$4-12))+Hypothèses!$B$105*SUMPRODUCT($G$104:$AQ$104*($G$4:$AQ$4=R$4-24))</f>
        <v>0</v>
      </c>
      <c r="S105" s="22">
        <f>Hypothèses!$B$104*SUMPRODUCT($G$103:$AQ$103*($G$4:$AQ$4=S$4-12))+Hypothèses!$B$105*SUMPRODUCT($G$104:$AQ$104*($G$4:$AQ$4=S$4-24))</f>
        <v>0</v>
      </c>
      <c r="T105" s="22">
        <f>Hypothèses!$B$104*SUMPRODUCT($G$103:$AQ$103*($G$4:$AQ$4=T$4-12))+Hypothèses!$B$105*SUMPRODUCT($G$104:$AQ$104*($G$4:$AQ$4=T$4-24))</f>
        <v>145000</v>
      </c>
      <c r="U105" s="22">
        <f>Hypothèses!$B$104*SUMPRODUCT($G$103:$AQ$103*($G$4:$AQ$4=U$4-12))+Hypothèses!$B$105*SUMPRODUCT($G$104:$AQ$104*($G$4:$AQ$4=U$4-24))</f>
        <v>0</v>
      </c>
      <c r="V105" s="22">
        <f>Hypothèses!$B$104*SUMPRODUCT($G$103:$AQ$103*($G$4:$AQ$4=V$4-12))+Hypothèses!$B$105*SUMPRODUCT($G$104:$AQ$104*($G$4:$AQ$4=V$4-24))</f>
        <v>0</v>
      </c>
      <c r="W105" s="22">
        <f>Hypothèses!$B$104*SUMPRODUCT($G$103:$AQ$103*($G$4:$AQ$4=W$4-12))+Hypothèses!$B$105*SUMPRODUCT($G$104:$AQ$104*($G$4:$AQ$4=W$4-24))</f>
        <v>0</v>
      </c>
      <c r="X105" s="22">
        <f>Hypothèses!$B$104*SUMPRODUCT($G$103:$AQ$103*($G$4:$AQ$4=X$4-12))+Hypothèses!$B$105*SUMPRODUCT($G$104:$AQ$104*($G$4:$AQ$4=X$4-24))</f>
        <v>0</v>
      </c>
      <c r="Y105" s="22">
        <f>Hypothèses!$B$104*SUMPRODUCT($G$103:$AQ$103*($G$4:$AQ$4=Y$4-12))+Hypothèses!$B$105*SUMPRODUCT($G$104:$AQ$104*($G$4:$AQ$4=Y$4-24))</f>
        <v>0</v>
      </c>
      <c r="Z105" s="22">
        <f>Hypothèses!$B$104*SUMPRODUCT($G$103:$AQ$103*($G$4:$AQ$4=Z$4-12))+Hypothèses!$B$105*SUMPRODUCT($G$104:$AQ$104*($G$4:$AQ$4=Z$4-24))</f>
        <v>0</v>
      </c>
      <c r="AA105" s="22">
        <f>Hypothèses!$B$104*SUMPRODUCT($G$103:$AQ$103*($G$4:$AQ$4=AA$4-12))+Hypothèses!$B$105*SUMPRODUCT($G$104:$AQ$104*($G$4:$AQ$4=AA$4-24))</f>
        <v>0</v>
      </c>
      <c r="AB105" s="22">
        <f>Hypothèses!$B$104*SUMPRODUCT($G$103:$AQ$103*($G$4:$AQ$4=AB$4-12))+Hypothèses!$B$105*SUMPRODUCT($G$104:$AQ$104*($G$4:$AQ$4=AB$4-24))</f>
        <v>0</v>
      </c>
      <c r="AC105" s="22">
        <f>Hypothèses!$B$104*SUMPRODUCT($G$103:$AQ$103*($G$4:$AQ$4=AC$4-12))+Hypothèses!$B$105*SUMPRODUCT($G$104:$AQ$104*($G$4:$AQ$4=AC$4-24))</f>
        <v>0</v>
      </c>
      <c r="AD105" s="22">
        <f>Hypothèses!$B$104*SUMPRODUCT($G$103:$AQ$103*($G$4:$AQ$4=AD$4-12))+Hypothèses!$B$105*SUMPRODUCT($G$104:$AQ$104*($G$4:$AQ$4=AD$4-24))</f>
        <v>0</v>
      </c>
      <c r="AE105" s="22">
        <f>Hypothèses!$B$104*SUMPRODUCT($G$103:$AQ$103*($G$4:$AQ$4=AE$4-12))+Hypothèses!$B$105*SUMPRODUCT($G$104:$AQ$104*($G$4:$AQ$4=AE$4-24))</f>
        <v>0</v>
      </c>
      <c r="AF105" s="22">
        <f>Hypothèses!$B$104*SUMPRODUCT($G$103:$AQ$103*($G$4:$AQ$4=AF$4-12))+Hypothèses!$B$105*SUMPRODUCT($G$104:$AQ$104*($G$4:$AQ$4=AF$4-24))</f>
        <v>480000</v>
      </c>
      <c r="AG105" s="22">
        <f>Hypothèses!$B$104*SUMPRODUCT($G$103:$AQ$103*($G$4:$AQ$4=AG$4-12))+Hypothèses!$B$105*SUMPRODUCT($G$104:$AQ$104*($G$4:$AQ$4=AG$4-24))</f>
        <v>0</v>
      </c>
      <c r="AH105" s="22">
        <f>Hypothèses!$B$104*SUMPRODUCT($G$103:$AQ$103*($G$4:$AQ$4=AH$4-12))+Hypothèses!$B$105*SUMPRODUCT($G$104:$AQ$104*($G$4:$AQ$4=AH$4-24))</f>
        <v>0</v>
      </c>
      <c r="AI105" s="22">
        <f>Hypothèses!$B$104*SUMPRODUCT($G$103:$AQ$103*($G$4:$AQ$4=AI$4-12))+Hypothèses!$B$105*SUMPRODUCT($G$104:$AQ$104*($G$4:$AQ$4=AI$4-24))</f>
        <v>0</v>
      </c>
      <c r="AJ105" s="22">
        <f>Hypothèses!$B$104*SUMPRODUCT($G$103:$AQ$103*($G$4:$AQ$4=AJ$4-12))+Hypothèses!$B$105*SUMPRODUCT($G$104:$AQ$104*($G$4:$AQ$4=AJ$4-24))</f>
        <v>96000</v>
      </c>
      <c r="AK105" s="22">
        <f>Hypothèses!$B$104*SUMPRODUCT($G$103:$AQ$103*($G$4:$AQ$4=AK$4-12))+Hypothèses!$B$105*SUMPRODUCT($G$104:$AQ$104*($G$4:$AQ$4=AK$4-24))</f>
        <v>0</v>
      </c>
      <c r="AL105" s="22">
        <f>Hypothèses!$B$104*SUMPRODUCT($G$103:$AQ$103*($G$4:$AQ$4=AL$4-12))+Hypothèses!$B$105*SUMPRODUCT($G$104:$AQ$104*($G$4:$AQ$4=AL$4-24))</f>
        <v>0</v>
      </c>
      <c r="AM105" s="22">
        <f>Hypothèses!$B$104*SUMPRODUCT($G$103:$AQ$103*($G$4:$AQ$4=AM$4-12))+Hypothèses!$B$105*SUMPRODUCT($G$104:$AQ$104*($G$4:$AQ$4=AM$4-24))</f>
        <v>96000</v>
      </c>
      <c r="AN105" s="22">
        <f>Hypothèses!$B$104*SUMPRODUCT($G$103:$AQ$103*($G$4:$AQ$4=AN$4-12))+Hypothèses!$B$105*SUMPRODUCT($G$104:$AQ$104*($G$4:$AQ$4=AN$4-24))</f>
        <v>0</v>
      </c>
      <c r="AO105" s="22">
        <f>Hypothèses!$B$104*SUMPRODUCT($G$103:$AQ$103*($G$4:$AQ$4=AO$4-12))+Hypothèses!$B$105*SUMPRODUCT($G$104:$AQ$104*($G$4:$AQ$4=AO$4-24))</f>
        <v>0</v>
      </c>
      <c r="AP105" s="22">
        <f>Hypothèses!$B$104*SUMPRODUCT($G$103:$AQ$103*($G$4:$AQ$4=AP$4-12))+Hypothèses!$B$105*SUMPRODUCT($G$104:$AQ$104*($G$4:$AQ$4=AP$4-24))</f>
        <v>96000</v>
      </c>
      <c r="AQ105" s="22">
        <f>Hypothèses!$B$104*SUMPRODUCT($G$103:$AQ$103*($G$4:$AQ$4=AQ$4-12))+Hypothèses!$B$105*SUMPRODUCT($G$104:$AQ$104*($G$4:$AQ$4=AQ$4-24))</f>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showGridLines="0" workbookViewId="0">
      <pane xSplit="1" ySplit="4" topLeftCell="B52" activePane="bottomRight" state="frozen"/>
      <selection pane="topRight"/>
      <selection pane="bottomLeft"/>
      <selection pane="bottomRight"/>
    </sheetView>
  </sheetViews>
  <sheetFormatPr baseColWidth="10" defaultColWidth="8.88671875" defaultRowHeight="14.4" x14ac:dyDescent="0.3"/>
  <cols>
    <col min="1" max="1" width="88" style="35" customWidth="1"/>
    <col min="2" max="6" width="17" style="35" customWidth="1"/>
  </cols>
  <sheetData>
    <row r="1" spans="1:6" ht="17.399999999999999" customHeight="1" x14ac:dyDescent="0.3">
      <c r="A1" s="1" t="s">
        <v>495</v>
      </c>
    </row>
    <row r="2" spans="1:6" x14ac:dyDescent="0.3">
      <c r="A2" s="2" t="s">
        <v>496</v>
      </c>
    </row>
    <row r="4" spans="1:6" ht="28.05" customHeight="1" x14ac:dyDescent="0.3">
      <c r="A4" s="3" t="s">
        <v>291</v>
      </c>
      <c r="B4" s="3" t="s">
        <v>157</v>
      </c>
      <c r="C4" s="3" t="s">
        <v>3</v>
      </c>
      <c r="D4" s="3" t="s">
        <v>4</v>
      </c>
      <c r="E4" s="3" t="s">
        <v>5</v>
      </c>
      <c r="F4" s="3" t="s">
        <v>6</v>
      </c>
    </row>
    <row r="5" spans="1:6" x14ac:dyDescent="0.3">
      <c r="A5" s="4" t="s">
        <v>497</v>
      </c>
      <c r="B5" s="5"/>
      <c r="C5" s="5"/>
      <c r="D5" s="5"/>
      <c r="E5" s="5"/>
      <c r="F5" s="5"/>
    </row>
    <row r="6" spans="1:6" x14ac:dyDescent="0.3">
      <c r="A6" s="6" t="s">
        <v>158</v>
      </c>
      <c r="B6" s="7">
        <f>Mensuel!B13</f>
        <v>1500000</v>
      </c>
      <c r="C6" s="7">
        <f>Mensuel!C13</f>
        <v>0</v>
      </c>
      <c r="D6" s="7">
        <f>Mensuel!D13</f>
        <v>0</v>
      </c>
      <c r="E6" s="7">
        <f>Mensuel!E13</f>
        <v>0</v>
      </c>
      <c r="F6" s="7">
        <f>Mensuel!F13</f>
        <v>1500000</v>
      </c>
    </row>
    <row r="7" spans="1:6" x14ac:dyDescent="0.3">
      <c r="A7" s="6" t="s">
        <v>160</v>
      </c>
      <c r="B7" s="7">
        <f>Mensuel!B14</f>
        <v>300000</v>
      </c>
      <c r="C7" s="7">
        <f>Mensuel!C14</f>
        <v>0</v>
      </c>
      <c r="D7" s="7">
        <f>Mensuel!D14</f>
        <v>0</v>
      </c>
      <c r="E7" s="7">
        <f>Mensuel!E14</f>
        <v>0</v>
      </c>
      <c r="F7" s="7">
        <f>Mensuel!F14</f>
        <v>300000</v>
      </c>
    </row>
    <row r="8" spans="1:6" x14ac:dyDescent="0.3">
      <c r="A8" s="6" t="s">
        <v>161</v>
      </c>
      <c r="B8" s="7">
        <f>Mensuel!B15</f>
        <v>100000</v>
      </c>
      <c r="C8" s="7">
        <f>Mensuel!C15</f>
        <v>0</v>
      </c>
      <c r="D8" s="7">
        <f>Mensuel!D15</f>
        <v>0</v>
      </c>
      <c r="E8" s="7">
        <f>Mensuel!E15</f>
        <v>0</v>
      </c>
      <c r="F8" s="7">
        <f>Mensuel!F15</f>
        <v>100000</v>
      </c>
    </row>
    <row r="9" spans="1:6" x14ac:dyDescent="0.3">
      <c r="A9" s="6" t="s">
        <v>162</v>
      </c>
      <c r="B9" s="7">
        <f>Mensuel!B16</f>
        <v>500000</v>
      </c>
      <c r="C9" s="7">
        <f>Mensuel!C16</f>
        <v>0</v>
      </c>
      <c r="D9" s="7">
        <f>Mensuel!D16</f>
        <v>0</v>
      </c>
      <c r="E9" s="7">
        <f>Mensuel!E16</f>
        <v>0</v>
      </c>
      <c r="F9" s="7">
        <f>Mensuel!F16</f>
        <v>500000</v>
      </c>
    </row>
    <row r="10" spans="1:6" x14ac:dyDescent="0.3">
      <c r="A10" s="6" t="s">
        <v>163</v>
      </c>
      <c r="B10" s="7">
        <f>Mensuel!B17</f>
        <v>1000000</v>
      </c>
      <c r="C10" s="7">
        <f>Mensuel!C17</f>
        <v>0</v>
      </c>
      <c r="D10" s="7">
        <f>Mensuel!D17</f>
        <v>0</v>
      </c>
      <c r="E10" s="7">
        <f>Mensuel!E17</f>
        <v>0</v>
      </c>
      <c r="F10" s="7">
        <f>Mensuel!F17</f>
        <v>1000000</v>
      </c>
    </row>
    <row r="11" spans="1:6" x14ac:dyDescent="0.3">
      <c r="A11" s="6" t="s">
        <v>164</v>
      </c>
      <c r="B11" s="7">
        <f>Mensuel!B18</f>
        <v>1000000</v>
      </c>
      <c r="C11" s="7">
        <f>Mensuel!C18</f>
        <v>0</v>
      </c>
      <c r="D11" s="7">
        <f>Mensuel!D18</f>
        <v>0</v>
      </c>
      <c r="E11" s="7">
        <f>Mensuel!E18</f>
        <v>0</v>
      </c>
      <c r="F11" s="7">
        <f>Mensuel!F18</f>
        <v>1000000</v>
      </c>
    </row>
    <row r="12" spans="1:6" x14ac:dyDescent="0.3">
      <c r="A12" s="6" t="s">
        <v>165</v>
      </c>
      <c r="B12" s="7">
        <f>Mensuel!B19</f>
        <v>150000</v>
      </c>
      <c r="C12" s="7">
        <f>Mensuel!C19</f>
        <v>0</v>
      </c>
      <c r="D12" s="7">
        <f>Mensuel!D19</f>
        <v>0</v>
      </c>
      <c r="E12" s="7">
        <f>Mensuel!E19</f>
        <v>0</v>
      </c>
      <c r="F12" s="7">
        <f>Mensuel!F19</f>
        <v>150000</v>
      </c>
    </row>
    <row r="13" spans="1:6" x14ac:dyDescent="0.3">
      <c r="A13" s="8" t="s">
        <v>498</v>
      </c>
      <c r="B13" s="9">
        <f>Mensuel!B20</f>
        <v>4550000</v>
      </c>
      <c r="C13" s="9">
        <f>Mensuel!C20</f>
        <v>0</v>
      </c>
      <c r="D13" s="9">
        <f>Mensuel!D20</f>
        <v>0</v>
      </c>
      <c r="E13" s="9">
        <f>Mensuel!E20</f>
        <v>0</v>
      </c>
      <c r="F13" s="9">
        <f>Mensuel!F20</f>
        <v>4550000</v>
      </c>
    </row>
    <row r="15" spans="1:6" x14ac:dyDescent="0.3">
      <c r="A15" s="4" t="s">
        <v>499</v>
      </c>
      <c r="B15" s="5"/>
      <c r="C15" s="5"/>
      <c r="D15" s="5"/>
      <c r="E15" s="5"/>
      <c r="F15" s="5"/>
    </row>
    <row r="16" spans="1:6" x14ac:dyDescent="0.3">
      <c r="A16" s="6" t="s">
        <v>167</v>
      </c>
      <c r="B16" s="7">
        <f>Mensuel!B23</f>
        <v>0</v>
      </c>
      <c r="C16" s="7">
        <f>Mensuel!C23</f>
        <v>1200000</v>
      </c>
      <c r="D16" s="7">
        <f>Mensuel!D23</f>
        <v>1200000</v>
      </c>
      <c r="E16" s="7">
        <f>Mensuel!E23</f>
        <v>1200000</v>
      </c>
      <c r="F16" s="7">
        <f>Mensuel!F23</f>
        <v>3600000</v>
      </c>
    </row>
    <row r="17" spans="1:6" x14ac:dyDescent="0.3">
      <c r="A17" s="6" t="s">
        <v>169</v>
      </c>
      <c r="B17" s="7">
        <f>Mensuel!B24</f>
        <v>0</v>
      </c>
      <c r="C17" s="7">
        <f>Mensuel!C24</f>
        <v>900000</v>
      </c>
      <c r="D17" s="7">
        <f>Mensuel!D24</f>
        <v>900000</v>
      </c>
      <c r="E17" s="7">
        <f>Mensuel!E24</f>
        <v>900000</v>
      </c>
      <c r="F17" s="7">
        <f>Mensuel!F24</f>
        <v>2700000</v>
      </c>
    </row>
    <row r="18" spans="1:6" x14ac:dyDescent="0.3">
      <c r="A18" s="6" t="s">
        <v>171</v>
      </c>
      <c r="B18" s="7">
        <f>Mensuel!B25</f>
        <v>0</v>
      </c>
      <c r="C18" s="7">
        <f>Mensuel!C25</f>
        <v>0</v>
      </c>
      <c r="D18" s="7">
        <f>Mensuel!D25</f>
        <v>2400000</v>
      </c>
      <c r="E18" s="7">
        <f>Mensuel!E25</f>
        <v>2400000</v>
      </c>
      <c r="F18" s="7">
        <f>Mensuel!F25</f>
        <v>4800000</v>
      </c>
    </row>
    <row r="19" spans="1:6" x14ac:dyDescent="0.3">
      <c r="A19" s="6" t="s">
        <v>174</v>
      </c>
      <c r="B19" s="7">
        <f>Mensuel!B26</f>
        <v>0</v>
      </c>
      <c r="C19" s="7">
        <f>Mensuel!C26</f>
        <v>900000</v>
      </c>
      <c r="D19" s="7">
        <f>Mensuel!D26</f>
        <v>0</v>
      </c>
      <c r="E19" s="7">
        <f>Mensuel!E26</f>
        <v>0</v>
      </c>
      <c r="F19" s="7">
        <f>Mensuel!F26</f>
        <v>900000</v>
      </c>
    </row>
    <row r="20" spans="1:6" x14ac:dyDescent="0.3">
      <c r="A20" s="6" t="s">
        <v>176</v>
      </c>
      <c r="B20" s="7">
        <f>Mensuel!B27</f>
        <v>0</v>
      </c>
      <c r="C20" s="7">
        <f>Mensuel!C27</f>
        <v>1200000</v>
      </c>
      <c r="D20" s="7">
        <f>Mensuel!D27</f>
        <v>1200000</v>
      </c>
      <c r="E20" s="7">
        <f>Mensuel!E27</f>
        <v>1200000</v>
      </c>
      <c r="F20" s="7">
        <f>Mensuel!F27</f>
        <v>3600000</v>
      </c>
    </row>
    <row r="21" spans="1:6" x14ac:dyDescent="0.3">
      <c r="A21" s="6" t="s">
        <v>177</v>
      </c>
      <c r="B21" s="7">
        <f>Mensuel!B28</f>
        <v>0</v>
      </c>
      <c r="C21" s="7">
        <f>Mensuel!C28</f>
        <v>600000</v>
      </c>
      <c r="D21" s="7">
        <f>Mensuel!D28</f>
        <v>600000</v>
      </c>
      <c r="E21" s="7">
        <f>Mensuel!E28</f>
        <v>600000</v>
      </c>
      <c r="F21" s="7">
        <f>Mensuel!F28</f>
        <v>1800000</v>
      </c>
    </row>
    <row r="22" spans="1:6" x14ac:dyDescent="0.3">
      <c r="A22" s="6" t="s">
        <v>178</v>
      </c>
      <c r="B22" s="7">
        <f>Mensuel!B29</f>
        <v>0</v>
      </c>
      <c r="C22" s="7">
        <f>Mensuel!C29</f>
        <v>600000</v>
      </c>
      <c r="D22" s="7">
        <f>Mensuel!D29</f>
        <v>600000</v>
      </c>
      <c r="E22" s="7">
        <f>Mensuel!E29</f>
        <v>600000</v>
      </c>
      <c r="F22" s="7">
        <f>Mensuel!F29</f>
        <v>1800000</v>
      </c>
    </row>
    <row r="23" spans="1:6" x14ac:dyDescent="0.3">
      <c r="A23" s="6" t="s">
        <v>500</v>
      </c>
      <c r="B23" s="7">
        <f>Mensuel!B30</f>
        <v>0</v>
      </c>
      <c r="C23" s="7">
        <f>Mensuel!C30</f>
        <v>300000</v>
      </c>
      <c r="D23" s="7">
        <f>Mensuel!D30</f>
        <v>300000</v>
      </c>
      <c r="E23" s="7">
        <f>Mensuel!E30</f>
        <v>300000</v>
      </c>
      <c r="F23" s="7">
        <f>Mensuel!F30</f>
        <v>900000</v>
      </c>
    </row>
    <row r="24" spans="1:6" x14ac:dyDescent="0.3">
      <c r="A24" s="6" t="s">
        <v>501</v>
      </c>
      <c r="B24" s="7">
        <f>Mensuel!B31</f>
        <v>0</v>
      </c>
      <c r="C24" s="7">
        <f>Mensuel!C31</f>
        <v>200000</v>
      </c>
      <c r="D24" s="7">
        <f>Mensuel!D31</f>
        <v>200000</v>
      </c>
      <c r="E24" s="7">
        <f>Mensuel!E31</f>
        <v>200000</v>
      </c>
      <c r="F24" s="7">
        <f>Mensuel!F31</f>
        <v>600000</v>
      </c>
    </row>
    <row r="25" spans="1:6" x14ac:dyDescent="0.3">
      <c r="A25" s="6" t="s">
        <v>438</v>
      </c>
      <c r="B25" s="7">
        <f>Mensuel!B32</f>
        <v>0</v>
      </c>
      <c r="C25" s="7">
        <f>Mensuel!C32</f>
        <v>600000</v>
      </c>
      <c r="D25" s="7">
        <f>Mensuel!D32</f>
        <v>0</v>
      </c>
      <c r="E25" s="7">
        <f>Mensuel!E32</f>
        <v>0</v>
      </c>
      <c r="F25" s="7">
        <f>Mensuel!F32</f>
        <v>600000</v>
      </c>
    </row>
    <row r="26" spans="1:6" x14ac:dyDescent="0.3">
      <c r="A26" s="6" t="s">
        <v>379</v>
      </c>
      <c r="B26" s="7">
        <f>Mensuel!B33</f>
        <v>0</v>
      </c>
      <c r="C26" s="7">
        <f>Mensuel!C33</f>
        <v>1735236</v>
      </c>
      <c r="D26" s="7">
        <f>Mensuel!D33</f>
        <v>1800000</v>
      </c>
      <c r="E26" s="7">
        <f>Mensuel!E33</f>
        <v>1800000</v>
      </c>
      <c r="F26" s="7">
        <f>Mensuel!F33</f>
        <v>5335236</v>
      </c>
    </row>
    <row r="27" spans="1:6" x14ac:dyDescent="0.3">
      <c r="A27" s="6" t="s">
        <v>502</v>
      </c>
      <c r="B27" s="7">
        <f>Mensuel!B34</f>
        <v>0</v>
      </c>
      <c r="C27" s="7">
        <f>Mensuel!C34</f>
        <v>0</v>
      </c>
      <c r="D27" s="7">
        <f>Mensuel!D34</f>
        <v>280000</v>
      </c>
      <c r="E27" s="7">
        <f>Mensuel!E34</f>
        <v>280000</v>
      </c>
      <c r="F27" s="7">
        <f>Mensuel!F34</f>
        <v>560000</v>
      </c>
    </row>
    <row r="28" spans="1:6" x14ac:dyDescent="0.3">
      <c r="A28" s="6" t="s">
        <v>503</v>
      </c>
      <c r="B28" s="7">
        <f>Mensuel!B35</f>
        <v>0</v>
      </c>
      <c r="C28" s="7">
        <f>Mensuel!C35</f>
        <v>0</v>
      </c>
      <c r="D28" s="7">
        <f>Mensuel!D35</f>
        <v>254000</v>
      </c>
      <c r="E28" s="7">
        <f>Mensuel!E35</f>
        <v>254000</v>
      </c>
      <c r="F28" s="7">
        <f>Mensuel!F35</f>
        <v>508000</v>
      </c>
    </row>
    <row r="29" spans="1:6" x14ac:dyDescent="0.3">
      <c r="A29" s="6" t="s">
        <v>504</v>
      </c>
      <c r="B29" s="7">
        <f>Mensuel!B36</f>
        <v>0</v>
      </c>
      <c r="C29" s="7">
        <f>Mensuel!C36</f>
        <v>0</v>
      </c>
      <c r="D29" s="7">
        <f>Mensuel!D36</f>
        <v>172000</v>
      </c>
      <c r="E29" s="7">
        <f>Mensuel!E36</f>
        <v>172000</v>
      </c>
      <c r="F29" s="7">
        <f>Mensuel!F36</f>
        <v>344000</v>
      </c>
    </row>
    <row r="30" spans="1:6" x14ac:dyDescent="0.3">
      <c r="A30" s="6" t="s">
        <v>505</v>
      </c>
      <c r="B30" s="7">
        <f>Mensuel!B37</f>
        <v>0</v>
      </c>
      <c r="C30" s="7">
        <f>Mensuel!C37</f>
        <v>630000</v>
      </c>
      <c r="D30" s="7">
        <f>Mensuel!D37</f>
        <v>0</v>
      </c>
      <c r="E30" s="7">
        <f>Mensuel!E37</f>
        <v>0</v>
      </c>
      <c r="F30" s="7">
        <f>Mensuel!F37</f>
        <v>630000</v>
      </c>
    </row>
    <row r="31" spans="1:6" x14ac:dyDescent="0.3">
      <c r="A31" s="6" t="s">
        <v>506</v>
      </c>
      <c r="B31" s="7">
        <f>Mensuel!B38</f>
        <v>0</v>
      </c>
      <c r="C31" s="7">
        <f>Mensuel!C38</f>
        <v>91875</v>
      </c>
      <c r="D31" s="7">
        <f>Mensuel!D38</f>
        <v>255250</v>
      </c>
      <c r="E31" s="7">
        <f>Mensuel!E38</f>
        <v>878250</v>
      </c>
      <c r="F31" s="7">
        <f>Mensuel!F38</f>
        <v>1225375</v>
      </c>
    </row>
    <row r="32" spans="1:6" x14ac:dyDescent="0.3">
      <c r="A32" s="8" t="s">
        <v>507</v>
      </c>
      <c r="B32" s="9">
        <f>Mensuel!B39</f>
        <v>0</v>
      </c>
      <c r="C32" s="9">
        <f>Mensuel!C39</f>
        <v>8957111</v>
      </c>
      <c r="D32" s="9">
        <f>Mensuel!D39</f>
        <v>10161250</v>
      </c>
      <c r="E32" s="9">
        <f>Mensuel!E39</f>
        <v>10784250</v>
      </c>
      <c r="F32" s="9">
        <f>Mensuel!F39</f>
        <v>29902611</v>
      </c>
    </row>
    <row r="34" spans="1:6" x14ac:dyDescent="0.3">
      <c r="A34" s="4" t="s">
        <v>508</v>
      </c>
      <c r="B34" s="5"/>
      <c r="C34" s="5"/>
      <c r="D34" s="5"/>
      <c r="E34" s="5"/>
      <c r="F34" s="5"/>
    </row>
    <row r="35" spans="1:6" x14ac:dyDescent="0.3">
      <c r="A35" s="6" t="s">
        <v>315</v>
      </c>
      <c r="B35" s="7">
        <f>Mensuel!B42</f>
        <v>0</v>
      </c>
      <c r="C35" s="7">
        <f>Mensuel!C42</f>
        <v>465000</v>
      </c>
      <c r="D35" s="7">
        <f>Mensuel!D42</f>
        <v>0</v>
      </c>
      <c r="E35" s="7">
        <f>Mensuel!E42</f>
        <v>0</v>
      </c>
      <c r="F35" s="7">
        <f>Mensuel!F42</f>
        <v>465000</v>
      </c>
    </row>
    <row r="36" spans="1:6" x14ac:dyDescent="0.3">
      <c r="A36" s="6" t="s">
        <v>444</v>
      </c>
      <c r="B36" s="7">
        <f>Mensuel!B43</f>
        <v>0</v>
      </c>
      <c r="C36" s="7">
        <f>Mensuel!C43</f>
        <v>994583.33333333314</v>
      </c>
      <c r="D36" s="7">
        <f>Mensuel!D43</f>
        <v>90416.666666666672</v>
      </c>
      <c r="E36" s="7">
        <f>Mensuel!E43</f>
        <v>0</v>
      </c>
      <c r="F36" s="7">
        <f>Mensuel!F43</f>
        <v>1084999.9999999998</v>
      </c>
    </row>
    <row r="37" spans="1:6" x14ac:dyDescent="0.3">
      <c r="A37" s="6" t="s">
        <v>317</v>
      </c>
      <c r="B37" s="7">
        <f>Mensuel!B44</f>
        <v>0</v>
      </c>
      <c r="C37" s="7">
        <f>Mensuel!C44</f>
        <v>2375000</v>
      </c>
      <c r="D37" s="7">
        <f>Mensuel!D44</f>
        <v>0</v>
      </c>
      <c r="E37" s="7">
        <f>Mensuel!E44</f>
        <v>0</v>
      </c>
      <c r="F37" s="7">
        <f>Mensuel!F44</f>
        <v>2375000</v>
      </c>
    </row>
    <row r="38" spans="1:6" x14ac:dyDescent="0.3">
      <c r="A38" s="8" t="s">
        <v>509</v>
      </c>
      <c r="B38" s="9">
        <f>Mensuel!B45</f>
        <v>0</v>
      </c>
      <c r="C38" s="9">
        <f>Mensuel!C45</f>
        <v>3834583.3333333316</v>
      </c>
      <c r="D38" s="9">
        <f>Mensuel!D45</f>
        <v>90416.666666666672</v>
      </c>
      <c r="E38" s="9">
        <f>Mensuel!E45</f>
        <v>0</v>
      </c>
      <c r="F38" s="9">
        <f>Mensuel!F45</f>
        <v>3924999.9999999981</v>
      </c>
    </row>
    <row r="40" spans="1:6" x14ac:dyDescent="0.3">
      <c r="A40" s="4" t="s">
        <v>510</v>
      </c>
      <c r="B40" s="5"/>
      <c r="C40" s="5"/>
      <c r="D40" s="5"/>
      <c r="E40" s="5"/>
      <c r="F40" s="5"/>
    </row>
    <row r="41" spans="1:6" x14ac:dyDescent="0.3">
      <c r="A41" s="6" t="s">
        <v>511</v>
      </c>
      <c r="B41" s="7">
        <f>Mensuel!B48</f>
        <v>0</v>
      </c>
      <c r="C41" s="7">
        <f>Mensuel!C48</f>
        <v>75000</v>
      </c>
      <c r="D41" s="7">
        <f>Mensuel!D48</f>
        <v>75000</v>
      </c>
      <c r="E41" s="7">
        <f>Mensuel!E48</f>
        <v>0</v>
      </c>
      <c r="F41" s="7">
        <f>Mensuel!F48</f>
        <v>150000</v>
      </c>
    </row>
    <row r="42" spans="1:6" x14ac:dyDescent="0.3">
      <c r="A42" s="6" t="s">
        <v>512</v>
      </c>
      <c r="B42" s="7">
        <f>Mensuel!B49</f>
        <v>0</v>
      </c>
      <c r="C42" s="7">
        <f>Mensuel!C49</f>
        <v>250000</v>
      </c>
      <c r="D42" s="7">
        <f>Mensuel!D49</f>
        <v>0</v>
      </c>
      <c r="E42" s="7">
        <f>Mensuel!E49</f>
        <v>0</v>
      </c>
      <c r="F42" s="7">
        <f>Mensuel!F49</f>
        <v>250000</v>
      </c>
    </row>
    <row r="43" spans="1:6" x14ac:dyDescent="0.3">
      <c r="A43" s="6" t="s">
        <v>513</v>
      </c>
      <c r="B43" s="7">
        <f>Mensuel!B50</f>
        <v>0</v>
      </c>
      <c r="C43" s="7">
        <f>Mensuel!C50</f>
        <v>139000</v>
      </c>
      <c r="D43" s="7">
        <f>Mensuel!D50</f>
        <v>89000</v>
      </c>
      <c r="E43" s="7">
        <f>Mensuel!E50</f>
        <v>0</v>
      </c>
      <c r="F43" s="7">
        <f>Mensuel!F50</f>
        <v>228000</v>
      </c>
    </row>
    <row r="44" spans="1:6" x14ac:dyDescent="0.3">
      <c r="A44" s="6" t="s">
        <v>514</v>
      </c>
      <c r="B44" s="7">
        <f>Mensuel!B51</f>
        <v>0</v>
      </c>
      <c r="C44" s="7">
        <f>Mensuel!C51</f>
        <v>695000</v>
      </c>
      <c r="D44" s="7">
        <f>Mensuel!D51</f>
        <v>0</v>
      </c>
      <c r="E44" s="7">
        <f>Mensuel!E51</f>
        <v>0</v>
      </c>
      <c r="F44" s="7">
        <f>Mensuel!F51</f>
        <v>695000</v>
      </c>
    </row>
    <row r="45" spans="1:6" x14ac:dyDescent="0.3">
      <c r="A45" s="8" t="s">
        <v>515</v>
      </c>
      <c r="B45" s="9">
        <f>Mensuel!B52</f>
        <v>0</v>
      </c>
      <c r="C45" s="9">
        <f>Mensuel!C52</f>
        <v>1159000</v>
      </c>
      <c r="D45" s="9">
        <f>Mensuel!D52</f>
        <v>164000</v>
      </c>
      <c r="E45" s="9">
        <f>Mensuel!E52</f>
        <v>0</v>
      </c>
      <c r="F45" s="9">
        <f>Mensuel!F52</f>
        <v>1323000</v>
      </c>
    </row>
    <row r="47" spans="1:6" x14ac:dyDescent="0.3">
      <c r="A47" s="10" t="s">
        <v>450</v>
      </c>
      <c r="B47" s="11">
        <f>Mensuel!B54</f>
        <v>4550000</v>
      </c>
      <c r="C47" s="11">
        <f>Mensuel!C54</f>
        <v>13950694.33333333</v>
      </c>
      <c r="D47" s="11">
        <f>Mensuel!D54</f>
        <v>10415666.666666668</v>
      </c>
      <c r="E47" s="11">
        <f>Mensuel!E54</f>
        <v>10784250</v>
      </c>
      <c r="F47" s="11">
        <f>Mensuel!F54</f>
        <v>39700611</v>
      </c>
    </row>
    <row r="49" spans="1:6" x14ac:dyDescent="0.3">
      <c r="A49" s="4" t="s">
        <v>516</v>
      </c>
      <c r="B49" s="5"/>
      <c r="C49" s="5"/>
      <c r="D49" s="5"/>
      <c r="E49" s="5"/>
      <c r="F49" s="5"/>
    </row>
    <row r="50" spans="1:6" x14ac:dyDescent="0.3">
      <c r="A50" s="6" t="s">
        <v>62</v>
      </c>
      <c r="B50" s="7">
        <f>Mensuel!B58</f>
        <v>0</v>
      </c>
      <c r="C50" s="7">
        <f>Mensuel!C58</f>
        <v>1345500</v>
      </c>
      <c r="D50" s="7">
        <f>Mensuel!D58</f>
        <v>1404000</v>
      </c>
      <c r="E50" s="7">
        <f>Mensuel!E58</f>
        <v>624000</v>
      </c>
      <c r="F50" s="7">
        <f>Mensuel!F58</f>
        <v>3373500</v>
      </c>
    </row>
    <row r="51" spans="1:6" x14ac:dyDescent="0.3">
      <c r="A51" s="6" t="s">
        <v>61</v>
      </c>
      <c r="B51" s="7">
        <f>Mensuel!B59</f>
        <v>0</v>
      </c>
      <c r="C51" s="7">
        <f>Mensuel!C59</f>
        <v>3752450</v>
      </c>
      <c r="D51" s="7">
        <f>Mensuel!D59</f>
        <v>1825200</v>
      </c>
      <c r="E51" s="7">
        <f>Mensuel!E59</f>
        <v>1825200</v>
      </c>
      <c r="F51" s="7">
        <f>Mensuel!F59</f>
        <v>7402850</v>
      </c>
    </row>
    <row r="52" spans="1:6" x14ac:dyDescent="0.3">
      <c r="A52" s="6" t="s">
        <v>26</v>
      </c>
      <c r="B52" s="7">
        <f>Mensuel!B60</f>
        <v>0</v>
      </c>
      <c r="C52" s="7">
        <f>Mensuel!C60</f>
        <v>5201625</v>
      </c>
      <c r="D52" s="7">
        <f>Mensuel!D60</f>
        <v>6809400</v>
      </c>
      <c r="E52" s="7">
        <f>Mensuel!E60</f>
        <v>6809400</v>
      </c>
      <c r="F52" s="7">
        <f>Mensuel!F60</f>
        <v>18820425</v>
      </c>
    </row>
    <row r="53" spans="1:6" x14ac:dyDescent="0.3">
      <c r="A53" s="6" t="s">
        <v>27</v>
      </c>
      <c r="B53" s="7">
        <f>Mensuel!B61</f>
        <v>0</v>
      </c>
      <c r="C53" s="7">
        <f>Mensuel!C61</f>
        <v>3962400</v>
      </c>
      <c r="D53" s="7">
        <f>Mensuel!D61</f>
        <v>5943600</v>
      </c>
      <c r="E53" s="7">
        <f>Mensuel!E61</f>
        <v>5943600</v>
      </c>
      <c r="F53" s="7">
        <f>Mensuel!F61</f>
        <v>15849600</v>
      </c>
    </row>
    <row r="54" spans="1:6" x14ac:dyDescent="0.3">
      <c r="A54" s="10" t="s">
        <v>324</v>
      </c>
      <c r="B54" s="11">
        <f>Mensuel!B62</f>
        <v>0</v>
      </c>
      <c r="C54" s="11">
        <f>Mensuel!C62</f>
        <v>14261975</v>
      </c>
      <c r="D54" s="11">
        <f>Mensuel!D62</f>
        <v>15982200</v>
      </c>
      <c r="E54" s="11">
        <f>Mensuel!E62</f>
        <v>15202200</v>
      </c>
      <c r="F54" s="11">
        <f>Mensuel!F62</f>
        <v>45446375</v>
      </c>
    </row>
    <row r="56" spans="1:6" x14ac:dyDescent="0.3">
      <c r="A56" s="4" t="s">
        <v>517</v>
      </c>
      <c r="B56" s="5"/>
      <c r="C56" s="5"/>
      <c r="D56" s="5"/>
      <c r="E56" s="5"/>
      <c r="F56" s="5"/>
    </row>
    <row r="57" spans="1:6" x14ac:dyDescent="0.3">
      <c r="A57" s="12" t="s">
        <v>518</v>
      </c>
      <c r="B57" s="13">
        <f>Mensuel!B65</f>
        <v>-4550000</v>
      </c>
      <c r="C57" s="13">
        <f>Mensuel!C65</f>
        <v>311280.66666666756</v>
      </c>
      <c r="D57" s="13">
        <f>Mensuel!D65</f>
        <v>5566533.333333333</v>
      </c>
      <c r="E57" s="13">
        <f>Mensuel!E65</f>
        <v>4417950</v>
      </c>
      <c r="F57" s="13">
        <f>Mensuel!F65</f>
        <v>5745764.0000000009</v>
      </c>
    </row>
    <row r="58" spans="1:6" x14ac:dyDescent="0.3">
      <c r="A58" s="10" t="s">
        <v>519</v>
      </c>
      <c r="B58" s="11">
        <f>Mensuel!B66</f>
        <v>10450000</v>
      </c>
      <c r="C58" s="11">
        <f>Mensuel!C66</f>
        <v>10761280.666666666</v>
      </c>
      <c r="D58" s="11">
        <f>Mensuel!D66</f>
        <v>16327814</v>
      </c>
      <c r="E58" s="11">
        <f>Mensuel!E66</f>
        <v>20745764</v>
      </c>
      <c r="F58" s="11">
        <f>Mensuel!F66</f>
        <v>5845253.5</v>
      </c>
    </row>
    <row r="59" spans="1:6" x14ac:dyDescent="0.3">
      <c r="A59" s="6" t="s">
        <v>520</v>
      </c>
      <c r="F59" s="14">
        <f>Mensuel!F67</f>
        <v>0</v>
      </c>
    </row>
    <row r="60" spans="1:6" x14ac:dyDescent="0.3">
      <c r="A60" s="6" t="s">
        <v>521</v>
      </c>
      <c r="F60" s="40" t="str">
        <f>IFERROR(INDEX(Mensuel!G4:AQ4,MATCH(1,Mensuel!G67:AQ67,0)),"aucun")</f>
        <v>aucun</v>
      </c>
    </row>
    <row r="62" spans="1:6" x14ac:dyDescent="0.3">
      <c r="A62" s="4" t="s">
        <v>522</v>
      </c>
      <c r="B62" s="5"/>
      <c r="C62" s="5"/>
      <c r="D62" s="5"/>
      <c r="E62" s="5"/>
      <c r="F62" s="5"/>
    </row>
    <row r="63" spans="1:6" x14ac:dyDescent="0.3">
      <c r="A63" s="12" t="s">
        <v>202</v>
      </c>
      <c r="B63" s="13">
        <f>Hypothèses!$B$54</f>
        <v>15000000</v>
      </c>
    </row>
    <row r="64" spans="1:6" x14ac:dyDescent="0.3">
      <c r="A64" s="6" t="s">
        <v>523</v>
      </c>
      <c r="B64" s="15">
        <f>-B13</f>
        <v>-4550000</v>
      </c>
    </row>
    <row r="65" spans="1:2" x14ac:dyDescent="0.3">
      <c r="A65" s="6" t="s">
        <v>524</v>
      </c>
      <c r="B65" s="15">
        <f>-(C32-C26-C30-C31)</f>
        <v>-6500000</v>
      </c>
    </row>
    <row r="66" spans="1:2" x14ac:dyDescent="0.3">
      <c r="A66" s="12" t="s">
        <v>525</v>
      </c>
      <c r="B66" s="16">
        <f>SUM(B63:B65)</f>
        <v>3950000</v>
      </c>
    </row>
    <row r="67" spans="1:2" x14ac:dyDescent="0.3">
      <c r="A67" s="6" t="s">
        <v>526</v>
      </c>
      <c r="B67" s="15">
        <f>C35+C37+C45</f>
        <v>3999000</v>
      </c>
    </row>
    <row r="68" spans="1:2" x14ac:dyDescent="0.3">
      <c r="A68" s="12" t="s">
        <v>527</v>
      </c>
      <c r="B68" s="16">
        <f>B66-B67</f>
        <v>-49000</v>
      </c>
    </row>
    <row r="69" spans="1:2" x14ac:dyDescent="0.3">
      <c r="A69" s="6" t="s">
        <v>528</v>
      </c>
      <c r="B69" s="15">
        <f>C38-C35-C37+C26</f>
        <v>2729819.3333333316</v>
      </c>
    </row>
    <row r="71" spans="1:2" x14ac:dyDescent="0.3">
      <c r="A71" s="2" t="s">
        <v>529</v>
      </c>
    </row>
    <row r="72" spans="1:2" x14ac:dyDescent="0.3">
      <c r="A72" s="2" t="s">
        <v>530</v>
      </c>
    </row>
    <row r="73" spans="1:2" x14ac:dyDescent="0.3">
      <c r="A73" s="2" t="s">
        <v>531</v>
      </c>
    </row>
    <row r="74" spans="1:2" x14ac:dyDescent="0.3">
      <c r="A74" s="2" t="s">
        <v>532</v>
      </c>
    </row>
    <row r="75" spans="1:2" x14ac:dyDescent="0.3">
      <c r="A75" s="2" t="s">
        <v>533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Résumé</vt:lpstr>
      <vt:lpstr>Seuils</vt:lpstr>
      <vt:lpstr>Décisions v2</vt:lpstr>
      <vt:lpstr>Hypothèses</vt:lpstr>
      <vt:lpstr>Démarrage</vt:lpstr>
      <vt:lpstr>Recettes</vt:lpstr>
      <vt:lpstr>Charges</vt:lpstr>
      <vt:lpstr>Marge</vt:lpstr>
      <vt:lpstr>Résultat</vt:lpstr>
      <vt:lpstr>Mensuel</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TamCar — Résultat complet</dc:title>
  <dc:creator>openpyxl</dc:creator>
  <cp:lastModifiedBy>PC</cp:lastModifiedBy>
  <dcterms:created xsi:type="dcterms:W3CDTF">2026-10-03T15:23:32Z</dcterms:created>
  <dcterms:modified xsi:type="dcterms:W3CDTF">2026-10-23T17:06:08Z</dcterms:modified>
</cp:coreProperties>
</file>