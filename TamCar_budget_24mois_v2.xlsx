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Recettes" sheetId="2" state="visible" r:id="rId2"/>
    <sheet xmlns:r="http://schemas.openxmlformats.org/officeDocument/2006/relationships" name="Charges" sheetId="3" state="visible" r:id="rId3"/>
    <sheet xmlns:r="http://schemas.openxmlformats.org/officeDocument/2006/relationships" name="P&amp;L 24 mois" sheetId="4" state="visible" r:id="rId4"/>
    <sheet xmlns:r="http://schemas.openxmlformats.org/officeDocument/2006/relationships" name="Investisse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F&quot;;(#,##0) &quot;F&quot;;-"/>
    <numFmt numFmtId="165" formatCode="0 %"/>
    <numFmt numFmtId="166" formatCode="0.0&quot;×&quot;"/>
    <numFmt numFmtId="167" formatCode="0.00 %"/>
  </numFmts>
  <fonts count="8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i val="1"/>
      <color rgb="00666666"/>
      <sz val="9"/>
    </font>
    <font>
      <name val="Arial"/>
      <b val="1"/>
      <color rgb="001E3A8A"/>
      <sz val="11"/>
    </font>
    <font>
      <name val="Arial"/>
      <color rgb="00000000"/>
    </font>
    <font>
      <name val="Arial"/>
      <color rgb="000000FF"/>
    </font>
    <font>
      <name val="Arial"/>
      <b val="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FF6FF"/>
      </patternFill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applyAlignment="1" pivotButton="0" quotePrefix="0" xfId="0">
      <alignment horizontal="right"/>
    </xf>
    <xf numFmtId="3" fontId="5" fillId="2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5" fontId="5" fillId="2" borderId="0" applyAlignment="1" pivotButton="0" quotePrefix="0" xfId="0">
      <alignment horizontal="right"/>
    </xf>
    <xf numFmtId="0" fontId="6" fillId="0" borderId="0" pivotButton="0" quotePrefix="0" xfId="0"/>
    <xf numFmtId="164" fontId="6" fillId="3" borderId="0" applyAlignment="1" pivotButton="0" quotePrefix="0" xfId="0">
      <alignment horizontal="right"/>
    </xf>
    <xf numFmtId="166" fontId="5" fillId="2" borderId="0" applyAlignment="1" pivotButton="0" quotePrefix="0" xfId="0">
      <alignment horizontal="right"/>
    </xf>
    <xf numFmtId="0" fontId="7" fillId="4" borderId="0" pivotButton="0" quotePrefix="0" xfId="0"/>
    <xf numFmtId="0" fontId="7" fillId="4" borderId="0" applyAlignment="1" pivotButton="0" quotePrefix="0" xfId="0">
      <alignment horizontal="center"/>
    </xf>
    <xf numFmtId="0" fontId="6" fillId="3" borderId="0" pivotButton="0" quotePrefix="0" xfId="0"/>
    <xf numFmtId="164" fontId="6" fillId="0" borderId="0" pivotButton="0" quotePrefix="0" xfId="0"/>
    <xf numFmtId="164" fontId="6" fillId="3" borderId="0" pivotButton="0" quotePrefix="0" xfId="0"/>
    <xf numFmtId="164" fontId="4" fillId="0" borderId="0" pivotButton="0" quotePrefix="0" xfId="0"/>
    <xf numFmtId="164" fontId="0" fillId="0" borderId="0" pivotButton="0" quotePrefix="0" xfId="0"/>
    <xf numFmtId="167" fontId="0" fillId="0" borderId="0" applyAlignment="1" pivotButton="0" quotePrefix="0" xfId="0">
      <alignment horizontal="right"/>
    </xf>
    <xf numFmtId="165" fontId="6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52" customWidth="1" min="4" max="4"/>
  </cols>
  <sheetData>
    <row r="2">
      <c r="B2" s="1" t="inlineStr">
        <is>
          <t>TamCar — Budget 24 mois · HYPOTHÈSES</t>
        </is>
      </c>
    </row>
    <row r="3">
      <c r="B3" s="2" t="inlineStr">
        <is>
          <t>Édition 2026-07 · Modifie UNIQUEMENT les cellules bleues, tout le reste se recalcule.</t>
        </is>
      </c>
    </row>
    <row r="5">
      <c r="B5" s="3" t="inlineStr">
        <is>
          <t>A · Productivité d'un véhicule (scénario réaliste)</t>
        </is>
      </c>
    </row>
    <row r="6">
      <c r="B6" s="4" t="inlineStr">
        <is>
          <t>Prix moyen d'une course</t>
        </is>
      </c>
      <c r="C6" s="5" t="n">
        <v>1500</v>
      </c>
      <c r="D6" s="2" t="inlineStr">
        <is>
          <t>Décision 2026-07 (au lieu de 2 500)</t>
        </is>
      </c>
    </row>
    <row r="7">
      <c r="B7" s="4" t="inlineStr">
        <is>
          <t>Courses / jour / véhicule</t>
        </is>
      </c>
      <c r="C7" s="6" t="n">
        <v>10</v>
      </c>
      <c r="D7" s="2" t="inlineStr">
        <is>
          <t>Voiture &amp; tricycle (moto = plus)</t>
        </is>
      </c>
    </row>
    <row r="8">
      <c r="B8" s="4" t="inlineStr">
        <is>
          <t>Jours actifs / mois</t>
        </is>
      </c>
      <c r="C8" s="6" t="n">
        <v>26</v>
      </c>
      <c r="D8" s="2" t="inlineStr">
        <is>
          <t>Semaine de 6 jours (dimanche off)</t>
        </is>
      </c>
    </row>
    <row r="9">
      <c r="B9" s="4" t="inlineStr">
        <is>
          <t>Volume de courses / véh / mois</t>
        </is>
      </c>
      <c r="C9" s="7">
        <f>C6*C7*C8</f>
        <v/>
      </c>
      <c r="D9" s="2" t="inlineStr">
        <is>
          <t>Calculé = prix × courses × jours</t>
        </is>
      </c>
    </row>
    <row r="11">
      <c r="B11" s="3" t="inlineStr">
        <is>
          <t>B · Répartition de chaque course (split 40/10/30/20)</t>
        </is>
      </c>
    </row>
    <row r="12">
      <c r="B12" s="4" t="inlineStr">
        <is>
          <t>Part plateforme (directe)</t>
        </is>
      </c>
      <c r="C12" s="8" t="n">
        <v>0.2</v>
      </c>
      <c r="D12" s="2" t="inlineStr">
        <is>
          <t>Revenu TamCar par course</t>
        </is>
      </c>
    </row>
    <row r="13">
      <c r="B13" s="4" t="inlineStr">
        <is>
          <t>Part fonds rachat</t>
        </is>
      </c>
      <c r="C13" s="8" t="n">
        <v>0.1</v>
      </c>
      <c r="D13" s="2" t="inlineStr">
        <is>
          <t>Alimente le rachat véhicule</t>
        </is>
      </c>
    </row>
    <row r="14">
      <c r="B14" s="4" t="inlineStr">
        <is>
          <t>Part plateforme du fonds rachat — An 1</t>
        </is>
      </c>
      <c r="C14" s="8" t="n">
        <v>0.3</v>
      </c>
      <c r="D14" s="2" t="inlineStr">
        <is>
          <t>Dégressif</t>
        </is>
      </c>
    </row>
    <row r="15">
      <c r="B15" s="4" t="inlineStr">
        <is>
          <t>Part plateforme du fonds rachat — An 2</t>
        </is>
      </c>
      <c r="C15" s="8" t="n">
        <v>0.2</v>
      </c>
      <c r="D15" s="2" t="inlineStr">
        <is>
          <t>Dégressif</t>
        </is>
      </c>
    </row>
    <row r="16">
      <c r="B16" s="4" t="inlineStr">
        <is>
          <t>Assurance conducteur / véh / mois</t>
        </is>
      </c>
      <c r="C16" s="5" t="n">
        <v>2000</v>
      </c>
      <c r="D16" s="2" t="inlineStr">
        <is>
          <t>Prélèvement mensuel (revenu TamCar)</t>
        </is>
      </c>
    </row>
    <row r="17">
      <c r="B17" s="9" t="inlineStr">
        <is>
          <t>Revenu plateforme / véh / mois — An 1</t>
        </is>
      </c>
      <c r="C17" s="10">
        <f>C9*C12 + C9*C13*C14 + C16</f>
        <v/>
      </c>
      <c r="D17" s="2" t="inlineStr">
        <is>
          <t>20% volume + 30% du rachat + assurance</t>
        </is>
      </c>
    </row>
    <row r="18">
      <c r="B18" s="9" t="inlineStr">
        <is>
          <t>Revenu plateforme / véh / mois — An 2</t>
        </is>
      </c>
      <c r="C18" s="10">
        <f>C9*C12 + C9*C13*C15 + C16</f>
        <v/>
      </c>
      <c r="D18" s="2" t="inlineStr">
        <is>
          <t>20% volume + 20% du rachat + assurance</t>
        </is>
      </c>
    </row>
    <row r="20">
      <c r="B20" s="3" t="inlineStr">
        <is>
          <t>C · Fiscalité &amp; capital</t>
        </is>
      </c>
    </row>
    <row r="21">
      <c r="B21" s="4" t="inlineStr">
        <is>
          <t>Impôt sur les sociétés (IS)</t>
        </is>
      </c>
      <c r="C21" s="8" t="n">
        <v>0.3</v>
      </c>
      <c r="D21" s="2" t="inlineStr">
        <is>
          <t>Sur résultat annuel positif</t>
        </is>
      </c>
    </row>
    <row r="22">
      <c r="B22" s="4" t="inlineStr">
        <is>
          <t>Retenue IRCM sur dividendes</t>
        </is>
      </c>
      <c r="C22" s="8" t="n">
        <v>0.1</v>
      </c>
      <c r="D22" s="2" t="inlineStr">
        <is>
          <t>Prélevée à la distribution</t>
        </is>
      </c>
    </row>
    <row r="23">
      <c r="B23" s="4" t="inlineStr">
        <is>
          <t>Taux de distribution des dividendes</t>
        </is>
      </c>
      <c r="C23" s="8" t="n">
        <v>0.4</v>
      </c>
      <c r="D23" s="2" t="inlineStr">
        <is>
          <t>% du résultat net distribué</t>
        </is>
      </c>
    </row>
    <row r="24">
      <c r="B24" s="4" t="inlineStr">
        <is>
          <t>Trésorerie de départ</t>
        </is>
      </c>
      <c r="C24" s="5" t="n">
        <v>11000000</v>
      </c>
      <c r="D24" s="2" t="inlineStr">
        <is>
          <t>Levée 10 M + reliquat CAPEX</t>
        </is>
      </c>
    </row>
    <row r="25">
      <c r="B25" s="4" t="inlineStr">
        <is>
          <t>Capital social total</t>
        </is>
      </c>
      <c r="C25" s="5" t="n">
        <v>30000000</v>
      </c>
      <c r="D25" s="2" t="inlineStr">
        <is>
          <t>20 M apport IP + 10 M numéraire</t>
        </is>
      </c>
    </row>
    <row r="26">
      <c r="B26" s="4" t="inlineStr">
        <is>
          <t>Ticket investisseur (référence)</t>
        </is>
      </c>
      <c r="C26" s="5" t="n">
        <v>1000000</v>
      </c>
      <c r="D26" s="2" t="inlineStr">
        <is>
          <t>Pour le calcul de rendement</t>
        </is>
      </c>
    </row>
    <row r="27">
      <c r="B27" s="4" t="inlineStr">
        <is>
          <t>Multiple de valorisation à la sortie (An 5)</t>
        </is>
      </c>
      <c r="C27" s="11" t="n">
        <v>5</v>
      </c>
      <c r="D27" s="2" t="inlineStr">
        <is>
          <t>Valeur société = multiple × résultat net An 2</t>
        </is>
      </c>
    </row>
    <row r="29">
      <c r="B29" s="2" t="inlineStr">
        <is>
          <t>Note : la trajectoire mensuelle des véhicules actifs est saisie dans l'onglet « Recettes » (ligne bleue).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Z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2">
      <c r="B2" s="1" t="inlineStr">
        <is>
          <t>Recettes plateforme — 24 mois</t>
        </is>
      </c>
    </row>
    <row r="4">
      <c r="B4" s="12" t="inlineStr">
        <is>
          <t>Ligne</t>
        </is>
      </c>
      <c r="C4" s="13" t="inlineStr">
        <is>
          <t>M1</t>
        </is>
      </c>
      <c r="D4" s="13" t="inlineStr">
        <is>
          <t>M2</t>
        </is>
      </c>
      <c r="E4" s="13" t="inlineStr">
        <is>
          <t>M3</t>
        </is>
      </c>
      <c r="F4" s="13" t="inlineStr">
        <is>
          <t>M4</t>
        </is>
      </c>
      <c r="G4" s="13" t="inlineStr">
        <is>
          <t>M5</t>
        </is>
      </c>
      <c r="H4" s="13" t="inlineStr">
        <is>
          <t>M6</t>
        </is>
      </c>
      <c r="I4" s="13" t="inlineStr">
        <is>
          <t>M7</t>
        </is>
      </c>
      <c r="J4" s="13" t="inlineStr">
        <is>
          <t>M8</t>
        </is>
      </c>
      <c r="K4" s="13" t="inlineStr">
        <is>
          <t>M9</t>
        </is>
      </c>
      <c r="L4" s="13" t="inlineStr">
        <is>
          <t>M10</t>
        </is>
      </c>
      <c r="M4" s="13" t="inlineStr">
        <is>
          <t>M11</t>
        </is>
      </c>
      <c r="N4" s="13" t="inlineStr">
        <is>
          <t>M12</t>
        </is>
      </c>
      <c r="O4" s="13" t="inlineStr">
        <is>
          <t>M13</t>
        </is>
      </c>
      <c r="P4" s="13" t="inlineStr">
        <is>
          <t>M14</t>
        </is>
      </c>
      <c r="Q4" s="13" t="inlineStr">
        <is>
          <t>M15</t>
        </is>
      </c>
      <c r="R4" s="13" t="inlineStr">
        <is>
          <t>M16</t>
        </is>
      </c>
      <c r="S4" s="13" t="inlineStr">
        <is>
          <t>M17</t>
        </is>
      </c>
      <c r="T4" s="13" t="inlineStr">
        <is>
          <t>M18</t>
        </is>
      </c>
      <c r="U4" s="13" t="inlineStr">
        <is>
          <t>M19</t>
        </is>
      </c>
      <c r="V4" s="13" t="inlineStr">
        <is>
          <t>M20</t>
        </is>
      </c>
      <c r="W4" s="13" t="inlineStr">
        <is>
          <t>M21</t>
        </is>
      </c>
      <c r="X4" s="13" t="inlineStr">
        <is>
          <t>M22</t>
        </is>
      </c>
      <c r="Y4" s="13" t="inlineStr">
        <is>
          <t>M23</t>
        </is>
      </c>
      <c r="Z4" s="13" t="inlineStr">
        <is>
          <t>M24</t>
        </is>
      </c>
    </row>
    <row r="5">
      <c r="B5" s="4" t="inlineStr">
        <is>
          <t>Véhicules actifs</t>
        </is>
      </c>
      <c r="C5" s="6" t="n">
        <v>0</v>
      </c>
      <c r="D5" s="6" t="n">
        <v>0</v>
      </c>
      <c r="E5" s="6" t="n">
        <v>3</v>
      </c>
      <c r="F5" s="6" t="n">
        <v>5</v>
      </c>
      <c r="G5" s="6" t="n">
        <v>7</v>
      </c>
      <c r="H5" s="6" t="n">
        <v>10</v>
      </c>
      <c r="I5" s="6" t="n">
        <v>12</v>
      </c>
      <c r="J5" s="6" t="n">
        <v>13</v>
      </c>
      <c r="K5" s="6" t="n">
        <v>15</v>
      </c>
      <c r="L5" s="6" t="n">
        <v>17</v>
      </c>
      <c r="M5" s="6" t="n">
        <v>20</v>
      </c>
      <c r="N5" s="6" t="n">
        <v>25</v>
      </c>
      <c r="O5" s="6" t="n">
        <v>25</v>
      </c>
      <c r="P5" s="6" t="n">
        <v>26</v>
      </c>
      <c r="Q5" s="6" t="n">
        <v>27</v>
      </c>
      <c r="R5" s="6" t="n">
        <v>28</v>
      </c>
      <c r="S5" s="6" t="n">
        <v>29</v>
      </c>
      <c r="T5" s="6" t="n">
        <v>30</v>
      </c>
      <c r="U5" s="6" t="n">
        <v>30</v>
      </c>
      <c r="V5" s="6" t="n">
        <v>30</v>
      </c>
      <c r="W5" s="6" t="n">
        <v>30</v>
      </c>
      <c r="X5" s="6" t="n">
        <v>30</v>
      </c>
      <c r="Y5" s="6" t="n">
        <v>30</v>
      </c>
      <c r="Z5" s="6" t="n">
        <v>30</v>
      </c>
    </row>
    <row r="6">
      <c r="B6" s="4" t="inlineStr">
        <is>
          <t>Revenu / véh / mois</t>
        </is>
      </c>
      <c r="C6" s="7">
        <f>'Hypothèses'!$C$17</f>
        <v/>
      </c>
      <c r="D6" s="7">
        <f>'Hypothèses'!$C$17</f>
        <v/>
      </c>
      <c r="E6" s="7">
        <f>'Hypothèses'!$C$17</f>
        <v/>
      </c>
      <c r="F6" s="7">
        <f>'Hypothèses'!$C$17</f>
        <v/>
      </c>
      <c r="G6" s="7">
        <f>'Hypothèses'!$C$17</f>
        <v/>
      </c>
      <c r="H6" s="7">
        <f>'Hypothèses'!$C$17</f>
        <v/>
      </c>
      <c r="I6" s="7">
        <f>'Hypothèses'!$C$17</f>
        <v/>
      </c>
      <c r="J6" s="7">
        <f>'Hypothèses'!$C$17</f>
        <v/>
      </c>
      <c r="K6" s="7">
        <f>'Hypothèses'!$C$17</f>
        <v/>
      </c>
      <c r="L6" s="7">
        <f>'Hypothèses'!$C$17</f>
        <v/>
      </c>
      <c r="M6" s="7">
        <f>'Hypothèses'!$C$17</f>
        <v/>
      </c>
      <c r="N6" s="7">
        <f>'Hypothèses'!$C$17</f>
        <v/>
      </c>
      <c r="O6" s="7">
        <f>'Hypothèses'!$C$18</f>
        <v/>
      </c>
      <c r="P6" s="7">
        <f>'Hypothèses'!$C$18</f>
        <v/>
      </c>
      <c r="Q6" s="7">
        <f>'Hypothèses'!$C$18</f>
        <v/>
      </c>
      <c r="R6" s="7">
        <f>'Hypothèses'!$C$18</f>
        <v/>
      </c>
      <c r="S6" s="7">
        <f>'Hypothèses'!$C$18</f>
        <v/>
      </c>
      <c r="T6" s="7">
        <f>'Hypothèses'!$C$18</f>
        <v/>
      </c>
      <c r="U6" s="7">
        <f>'Hypothèses'!$C$18</f>
        <v/>
      </c>
      <c r="V6" s="7">
        <f>'Hypothèses'!$C$18</f>
        <v/>
      </c>
      <c r="W6" s="7">
        <f>'Hypothèses'!$C$18</f>
        <v/>
      </c>
      <c r="X6" s="7">
        <f>'Hypothèses'!$C$18</f>
        <v/>
      </c>
      <c r="Y6" s="7">
        <f>'Hypothèses'!$C$18</f>
        <v/>
      </c>
      <c r="Z6" s="7">
        <f>'Hypothèses'!$C$18</f>
        <v/>
      </c>
    </row>
    <row r="7">
      <c r="B7" s="14" t="inlineStr">
        <is>
          <t>RECETTES PLATEFORME</t>
        </is>
      </c>
      <c r="C7" s="10">
        <f>C5*C6</f>
        <v/>
      </c>
      <c r="D7" s="10">
        <f>D5*D6</f>
        <v/>
      </c>
      <c r="E7" s="10">
        <f>E5*E6</f>
        <v/>
      </c>
      <c r="F7" s="10">
        <f>F5*F6</f>
        <v/>
      </c>
      <c r="G7" s="10">
        <f>G5*G6</f>
        <v/>
      </c>
      <c r="H7" s="10">
        <f>H5*H6</f>
        <v/>
      </c>
      <c r="I7" s="10">
        <f>I5*I6</f>
        <v/>
      </c>
      <c r="J7" s="10">
        <f>J5*J6</f>
        <v/>
      </c>
      <c r="K7" s="10">
        <f>K5*K6</f>
        <v/>
      </c>
      <c r="L7" s="10">
        <f>L5*L6</f>
        <v/>
      </c>
      <c r="M7" s="10">
        <f>M5*M6</f>
        <v/>
      </c>
      <c r="N7" s="10">
        <f>N5*N6</f>
        <v/>
      </c>
      <c r="O7" s="10">
        <f>O5*O6</f>
        <v/>
      </c>
      <c r="P7" s="10">
        <f>P5*P6</f>
        <v/>
      </c>
      <c r="Q7" s="10">
        <f>Q5*Q6</f>
        <v/>
      </c>
      <c r="R7" s="10">
        <f>R5*R6</f>
        <v/>
      </c>
      <c r="S7" s="10">
        <f>S5*S6</f>
        <v/>
      </c>
      <c r="T7" s="10">
        <f>T5*T6</f>
        <v/>
      </c>
      <c r="U7" s="10">
        <f>U5*U6</f>
        <v/>
      </c>
      <c r="V7" s="10">
        <f>V5*V6</f>
        <v/>
      </c>
      <c r="W7" s="10">
        <f>W5*W6</f>
        <v/>
      </c>
      <c r="X7" s="10">
        <f>X5*X6</f>
        <v/>
      </c>
      <c r="Y7" s="10">
        <f>Y5*Y6</f>
        <v/>
      </c>
      <c r="Z7" s="10">
        <f>Z5*Z6</f>
        <v/>
      </c>
    </row>
    <row r="9">
      <c r="B9" s="9" t="inlineStr">
        <is>
          <t>Total An 1 (M1-M12)</t>
        </is>
      </c>
      <c r="C9" s="15">
        <f>SUM(C7:N7)</f>
        <v/>
      </c>
    </row>
    <row r="10">
      <c r="B10" s="9" t="inlineStr">
        <is>
          <t>Total An 2 (M13-M24)</t>
        </is>
      </c>
      <c r="C10" s="15">
        <f>SUM(O7:Z7)</f>
        <v/>
      </c>
    </row>
    <row r="11">
      <c r="B11" s="9" t="inlineStr">
        <is>
          <t>Total 24 mois</t>
        </is>
      </c>
      <c r="C11" s="15">
        <f>C9+C10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Z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2">
      <c r="B2" s="1" t="inlineStr">
        <is>
          <t>Charges — CAPEX (démarrage) + OPEX mensuel</t>
        </is>
      </c>
    </row>
    <row r="4">
      <c r="B4" s="3" t="inlineStr">
        <is>
          <t>CAPEX de démarrage (one-shot, imputé M1)</t>
        </is>
      </c>
    </row>
    <row r="5">
      <c r="B5" s="4" t="inlineStr">
        <is>
          <t>Notaire — constitution SARL</t>
        </is>
      </c>
      <c r="C5" s="5" t="n">
        <v>350000</v>
      </c>
    </row>
    <row r="6">
      <c r="B6" s="4" t="inlineStr">
        <is>
          <t>RCCM + IFU + annonce légale + compte pro</t>
        </is>
      </c>
      <c r="C6" s="5" t="n">
        <v>115000</v>
      </c>
    </row>
    <row r="7">
      <c r="B7" s="4" t="inlineStr">
        <is>
          <t>ANATT — 1re autorisation + attestations + acomptes</t>
        </is>
      </c>
      <c r="C7" s="5" t="n">
        <v>666000</v>
      </c>
    </row>
    <row r="8">
      <c r="B8" s="4" t="inlineStr">
        <is>
          <t>Honoraires juriste OHADA (contrats)</t>
        </is>
      </c>
      <c r="C8" s="5" t="n">
        <v>800000</v>
      </c>
    </row>
    <row r="9">
      <c r="B9" s="4" t="inlineStr">
        <is>
          <t>Commissaire aux apports</t>
        </is>
      </c>
      <c r="C9" s="5" t="n">
        <v>750000</v>
      </c>
    </row>
    <row r="10">
      <c r="B10" s="4" t="inlineStr">
        <is>
          <t>Bureau — caution + aménagement</t>
        </is>
      </c>
      <c r="C10" s="5" t="n">
        <v>700000</v>
      </c>
    </row>
    <row r="11">
      <c r="B11" s="4" t="inlineStr">
        <is>
          <t>Matériel informatique + mobilier</t>
        </is>
      </c>
      <c r="C11" s="5" t="n">
        <v>700000</v>
      </c>
    </row>
    <row r="12">
      <c r="B12" s="4" t="inlineStr">
        <is>
          <t>Marketing lancement (événement, photo, vidéo)</t>
        </is>
      </c>
      <c r="C12" s="5" t="n">
        <v>900000</v>
      </c>
    </row>
    <row r="13">
      <c r="B13" s="4" t="inlineStr">
        <is>
          <t>Habillage 10 véhicules + inspections + kits</t>
        </is>
      </c>
      <c r="C13" s="5" t="n">
        <v>460000</v>
      </c>
    </row>
    <row r="14">
      <c r="B14" s="4" t="inlineStr">
        <is>
          <t>Charte visuelle + print + domaine/email</t>
        </is>
      </c>
      <c r="C14" s="5" t="n">
        <v>175000</v>
      </c>
    </row>
    <row r="15">
      <c r="B15" s="14" t="inlineStr">
        <is>
          <t>TOTAL CAPEX</t>
        </is>
      </c>
      <c r="C15" s="16">
        <f>SUM(C5:C14)</f>
        <v/>
      </c>
    </row>
    <row r="17">
      <c r="B17" s="3" t="inlineStr">
        <is>
          <t>OPEX mensuel par catégorie</t>
        </is>
      </c>
    </row>
    <row r="18">
      <c r="B18" s="12" t="inlineStr">
        <is>
          <t>Catégorie</t>
        </is>
      </c>
      <c r="C18" s="13" t="inlineStr">
        <is>
          <t>M1</t>
        </is>
      </c>
      <c r="D18" s="13" t="inlineStr">
        <is>
          <t>M2</t>
        </is>
      </c>
      <c r="E18" s="13" t="inlineStr">
        <is>
          <t>M3</t>
        </is>
      </c>
      <c r="F18" s="13" t="inlineStr">
        <is>
          <t>M4</t>
        </is>
      </c>
      <c r="G18" s="13" t="inlineStr">
        <is>
          <t>M5</t>
        </is>
      </c>
      <c r="H18" s="13" t="inlineStr">
        <is>
          <t>M6</t>
        </is>
      </c>
      <c r="I18" s="13" t="inlineStr">
        <is>
          <t>M7</t>
        </is>
      </c>
      <c r="J18" s="13" t="inlineStr">
        <is>
          <t>M8</t>
        </is>
      </c>
      <c r="K18" s="13" t="inlineStr">
        <is>
          <t>M9</t>
        </is>
      </c>
      <c r="L18" s="13" t="inlineStr">
        <is>
          <t>M10</t>
        </is>
      </c>
      <c r="M18" s="13" t="inlineStr">
        <is>
          <t>M11</t>
        </is>
      </c>
      <c r="N18" s="13" t="inlineStr">
        <is>
          <t>M12</t>
        </is>
      </c>
      <c r="O18" s="13" t="inlineStr">
        <is>
          <t>M13</t>
        </is>
      </c>
      <c r="P18" s="13" t="inlineStr">
        <is>
          <t>M14</t>
        </is>
      </c>
      <c r="Q18" s="13" t="inlineStr">
        <is>
          <t>M15</t>
        </is>
      </c>
      <c r="R18" s="13" t="inlineStr">
        <is>
          <t>M16</t>
        </is>
      </c>
      <c r="S18" s="13" t="inlineStr">
        <is>
          <t>M17</t>
        </is>
      </c>
      <c r="T18" s="13" t="inlineStr">
        <is>
          <t>M18</t>
        </is>
      </c>
      <c r="U18" s="13" t="inlineStr">
        <is>
          <t>M19</t>
        </is>
      </c>
      <c r="V18" s="13" t="inlineStr">
        <is>
          <t>M20</t>
        </is>
      </c>
      <c r="W18" s="13" t="inlineStr">
        <is>
          <t>M21</t>
        </is>
      </c>
      <c r="X18" s="13" t="inlineStr">
        <is>
          <t>M22</t>
        </is>
      </c>
      <c r="Y18" s="13" t="inlineStr">
        <is>
          <t>M23</t>
        </is>
      </c>
      <c r="Z18" s="13" t="inlineStr">
        <is>
          <t>M24</t>
        </is>
      </c>
    </row>
    <row r="19">
      <c r="B19" s="4" t="inlineStr">
        <is>
          <t>Bureau &amp; infrastructure</t>
        </is>
      </c>
      <c r="C19" s="5" t="n">
        <v>200000</v>
      </c>
      <c r="D19" s="5" t="n">
        <v>200000</v>
      </c>
      <c r="E19" s="5" t="n">
        <v>200000</v>
      </c>
      <c r="F19" s="5" t="n">
        <v>200000</v>
      </c>
      <c r="G19" s="5" t="n">
        <v>200000</v>
      </c>
      <c r="H19" s="5" t="n">
        <v>200000</v>
      </c>
      <c r="I19" s="5" t="n">
        <v>200000</v>
      </c>
      <c r="J19" s="5" t="n">
        <v>200000</v>
      </c>
      <c r="K19" s="5" t="n">
        <v>200000</v>
      </c>
      <c r="L19" s="5" t="n">
        <v>200000</v>
      </c>
      <c r="M19" s="5" t="n">
        <v>200000</v>
      </c>
      <c r="N19" s="5" t="n">
        <v>200000</v>
      </c>
      <c r="O19" s="5" t="n">
        <v>200000</v>
      </c>
      <c r="P19" s="5" t="n">
        <v>200000</v>
      </c>
      <c r="Q19" s="5" t="n">
        <v>200000</v>
      </c>
      <c r="R19" s="5" t="n">
        <v>200000</v>
      </c>
      <c r="S19" s="5" t="n">
        <v>200000</v>
      </c>
      <c r="T19" s="5" t="n">
        <v>200000</v>
      </c>
      <c r="U19" s="5" t="n">
        <v>200000</v>
      </c>
      <c r="V19" s="5" t="n">
        <v>200000</v>
      </c>
      <c r="W19" s="5" t="n">
        <v>200000</v>
      </c>
      <c r="X19" s="5" t="n">
        <v>200000</v>
      </c>
      <c r="Y19" s="5" t="n">
        <v>200000</v>
      </c>
      <c r="Z19" s="5" t="n">
        <v>200000</v>
      </c>
    </row>
    <row r="20">
      <c r="B20" s="4" t="inlineStr">
        <is>
          <t>Tech (Supabase, Vercel, Mapbox, SMS, IA)</t>
        </is>
      </c>
      <c r="C20" s="5" t="n">
        <v>84000</v>
      </c>
      <c r="D20" s="5" t="n">
        <v>84000</v>
      </c>
      <c r="E20" s="5" t="n">
        <v>84000</v>
      </c>
      <c r="F20" s="5" t="n">
        <v>84000</v>
      </c>
      <c r="G20" s="5" t="n">
        <v>84000</v>
      </c>
      <c r="H20" s="5" t="n">
        <v>84000</v>
      </c>
      <c r="I20" s="5" t="n">
        <v>84000</v>
      </c>
      <c r="J20" s="5" t="n">
        <v>84000</v>
      </c>
      <c r="K20" s="5" t="n">
        <v>84000</v>
      </c>
      <c r="L20" s="5" t="n">
        <v>84000</v>
      </c>
      <c r="M20" s="5" t="n">
        <v>84000</v>
      </c>
      <c r="N20" s="5" t="n">
        <v>84000</v>
      </c>
      <c r="O20" s="5" t="n">
        <v>83500</v>
      </c>
      <c r="P20" s="5" t="n">
        <v>83500</v>
      </c>
      <c r="Q20" s="5" t="n">
        <v>83500</v>
      </c>
      <c r="R20" s="5" t="n">
        <v>83500</v>
      </c>
      <c r="S20" s="5" t="n">
        <v>83500</v>
      </c>
      <c r="T20" s="5" t="n">
        <v>83500</v>
      </c>
      <c r="U20" s="5" t="n">
        <v>83500</v>
      </c>
      <c r="V20" s="5" t="n">
        <v>83500</v>
      </c>
      <c r="W20" s="5" t="n">
        <v>83500</v>
      </c>
      <c r="X20" s="5" t="n">
        <v>83500</v>
      </c>
      <c r="Y20" s="5" t="n">
        <v>83500</v>
      </c>
      <c r="Z20" s="5" t="n">
        <v>83500</v>
      </c>
    </row>
    <row r="21">
      <c r="B21" s="4" t="inlineStr">
        <is>
          <t>RH externalisée (support, CM, compta, juriste)</t>
        </is>
      </c>
      <c r="C21" s="5" t="n">
        <v>275000</v>
      </c>
      <c r="D21" s="5" t="n">
        <v>275000</v>
      </c>
      <c r="E21" s="5" t="n">
        <v>275000</v>
      </c>
      <c r="F21" s="5" t="n">
        <v>275000</v>
      </c>
      <c r="G21" s="5" t="n">
        <v>275000</v>
      </c>
      <c r="H21" s="5" t="n">
        <v>275000</v>
      </c>
      <c r="I21" s="5" t="n">
        <v>275000</v>
      </c>
      <c r="J21" s="5" t="n">
        <v>275000</v>
      </c>
      <c r="K21" s="5" t="n">
        <v>275000</v>
      </c>
      <c r="L21" s="5" t="n">
        <v>275000</v>
      </c>
      <c r="M21" s="5" t="n">
        <v>275000</v>
      </c>
      <c r="N21" s="5" t="n">
        <v>275000</v>
      </c>
      <c r="O21" s="5" t="n">
        <v>275000</v>
      </c>
      <c r="P21" s="5" t="n">
        <v>275000</v>
      </c>
      <c r="Q21" s="5" t="n">
        <v>275000</v>
      </c>
      <c r="R21" s="5" t="n">
        <v>275000</v>
      </c>
      <c r="S21" s="5" t="n">
        <v>275000</v>
      </c>
      <c r="T21" s="5" t="n">
        <v>275000</v>
      </c>
      <c r="U21" s="5" t="n">
        <v>275000</v>
      </c>
      <c r="V21" s="5" t="n">
        <v>275000</v>
      </c>
      <c r="W21" s="5" t="n">
        <v>275000</v>
      </c>
      <c r="X21" s="5" t="n">
        <v>275000</v>
      </c>
      <c r="Y21" s="5" t="n">
        <v>275000</v>
      </c>
      <c r="Z21" s="5" t="n">
        <v>275000</v>
      </c>
    </row>
    <row r="22">
      <c r="B22" s="4" t="inlineStr">
        <is>
          <t>Marketing &amp; acquisition</t>
        </is>
      </c>
      <c r="C22" s="5" t="n">
        <v>450000</v>
      </c>
      <c r="D22" s="5" t="n">
        <v>450000</v>
      </c>
      <c r="E22" s="5" t="n">
        <v>450000</v>
      </c>
      <c r="F22" s="5" t="n">
        <v>450000</v>
      </c>
      <c r="G22" s="5" t="n">
        <v>450000</v>
      </c>
      <c r="H22" s="5" t="n">
        <v>450000</v>
      </c>
      <c r="I22" s="5" t="n">
        <v>450000</v>
      </c>
      <c r="J22" s="5" t="n">
        <v>450000</v>
      </c>
      <c r="K22" s="5" t="n">
        <v>450000</v>
      </c>
      <c r="L22" s="5" t="n">
        <v>450000</v>
      </c>
      <c r="M22" s="5" t="n">
        <v>450000</v>
      </c>
      <c r="N22" s="5" t="n">
        <v>450000</v>
      </c>
      <c r="O22" s="5" t="n">
        <v>750000</v>
      </c>
      <c r="P22" s="5" t="n">
        <v>750000</v>
      </c>
      <c r="Q22" s="5" t="n">
        <v>750000</v>
      </c>
      <c r="R22" s="5" t="n">
        <v>750000</v>
      </c>
      <c r="S22" s="5" t="n">
        <v>750000</v>
      </c>
      <c r="T22" s="5" t="n">
        <v>750000</v>
      </c>
      <c r="U22" s="5" t="n">
        <v>750000</v>
      </c>
      <c r="V22" s="5" t="n">
        <v>750000</v>
      </c>
      <c r="W22" s="5" t="n">
        <v>750000</v>
      </c>
      <c r="X22" s="5" t="n">
        <v>750000</v>
      </c>
      <c r="Y22" s="5" t="n">
        <v>750000</v>
      </c>
      <c r="Z22" s="5" t="n">
        <v>750000</v>
      </c>
    </row>
    <row r="23">
      <c r="B23" s="4" t="inlineStr">
        <is>
          <t>Financier &amp; Mobile Money + assurance RC</t>
        </is>
      </c>
      <c r="C23" s="5" t="n">
        <v>77000</v>
      </c>
      <c r="D23" s="5" t="n">
        <v>77000</v>
      </c>
      <c r="E23" s="5" t="n">
        <v>77000</v>
      </c>
      <c r="F23" s="5" t="n">
        <v>77000</v>
      </c>
      <c r="G23" s="5" t="n">
        <v>77000</v>
      </c>
      <c r="H23" s="5" t="n">
        <v>77000</v>
      </c>
      <c r="I23" s="5" t="n">
        <v>77000</v>
      </c>
      <c r="J23" s="5" t="n">
        <v>77000</v>
      </c>
      <c r="K23" s="5" t="n">
        <v>77000</v>
      </c>
      <c r="L23" s="5" t="n">
        <v>77000</v>
      </c>
      <c r="M23" s="5" t="n">
        <v>77000</v>
      </c>
      <c r="N23" s="5" t="n">
        <v>77000</v>
      </c>
      <c r="O23" s="5" t="n">
        <v>82000</v>
      </c>
      <c r="P23" s="5" t="n">
        <v>82000</v>
      </c>
      <c r="Q23" s="5" t="n">
        <v>82000</v>
      </c>
      <c r="R23" s="5" t="n">
        <v>82000</v>
      </c>
      <c r="S23" s="5" t="n">
        <v>82000</v>
      </c>
      <c r="T23" s="5" t="n">
        <v>82000</v>
      </c>
      <c r="U23" s="5" t="n">
        <v>82000</v>
      </c>
      <c r="V23" s="5" t="n">
        <v>82000</v>
      </c>
      <c r="W23" s="5" t="n">
        <v>82000</v>
      </c>
      <c r="X23" s="5" t="n">
        <v>82000</v>
      </c>
      <c r="Y23" s="5" t="n">
        <v>82000</v>
      </c>
      <c r="Z23" s="5" t="n">
        <v>82000</v>
      </c>
    </row>
    <row r="24">
      <c r="B24" s="4" t="inlineStr">
        <is>
          <t>Ops manager (dès M18)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200000</v>
      </c>
      <c r="U24" s="5" t="n">
        <v>200000</v>
      </c>
      <c r="V24" s="5" t="n">
        <v>200000</v>
      </c>
      <c r="W24" s="5" t="n">
        <v>200000</v>
      </c>
      <c r="X24" s="5" t="n">
        <v>200000</v>
      </c>
      <c r="Y24" s="5" t="n">
        <v>200000</v>
      </c>
      <c r="Z24" s="5" t="n">
        <v>200000</v>
      </c>
    </row>
    <row r="25">
      <c r="B25" s="4" t="inlineStr">
        <is>
          <t>Extension Parakou (dès M18)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125000</v>
      </c>
      <c r="U25" s="5" t="n">
        <v>125000</v>
      </c>
      <c r="V25" s="5" t="n">
        <v>125000</v>
      </c>
      <c r="W25" s="5" t="n">
        <v>125000</v>
      </c>
      <c r="X25" s="5" t="n">
        <v>125000</v>
      </c>
      <c r="Y25" s="5" t="n">
        <v>125000</v>
      </c>
      <c r="Z25" s="5" t="n">
        <v>125000</v>
      </c>
    </row>
    <row r="26">
      <c r="B26" s="14" t="inlineStr">
        <is>
          <t>TOTAL OPEX MENSUEL</t>
        </is>
      </c>
      <c r="C26" s="16">
        <f>SUM(C19:C25)</f>
        <v/>
      </c>
      <c r="D26" s="16">
        <f>SUM(D19:D25)</f>
        <v/>
      </c>
      <c r="E26" s="16">
        <f>SUM(E19:E25)</f>
        <v/>
      </c>
      <c r="F26" s="16">
        <f>SUM(F19:F25)</f>
        <v/>
      </c>
      <c r="G26" s="16">
        <f>SUM(G19:G25)</f>
        <v/>
      </c>
      <c r="H26" s="16">
        <f>SUM(H19:H25)</f>
        <v/>
      </c>
      <c r="I26" s="16">
        <f>SUM(I19:I25)</f>
        <v/>
      </c>
      <c r="J26" s="16">
        <f>SUM(J19:J25)</f>
        <v/>
      </c>
      <c r="K26" s="16">
        <f>SUM(K19:K25)</f>
        <v/>
      </c>
      <c r="L26" s="16">
        <f>SUM(L19:L25)</f>
        <v/>
      </c>
      <c r="M26" s="16">
        <f>SUM(M19:M25)</f>
        <v/>
      </c>
      <c r="N26" s="16">
        <f>SUM(N19:N25)</f>
        <v/>
      </c>
      <c r="O26" s="16">
        <f>SUM(O19:O25)</f>
        <v/>
      </c>
      <c r="P26" s="16">
        <f>SUM(P19:P25)</f>
        <v/>
      </c>
      <c r="Q26" s="16">
        <f>SUM(Q19:Q25)</f>
        <v/>
      </c>
      <c r="R26" s="16">
        <f>SUM(R19:R25)</f>
        <v/>
      </c>
      <c r="S26" s="16">
        <f>SUM(S19:S25)</f>
        <v/>
      </c>
      <c r="T26" s="16">
        <f>SUM(T19:T25)</f>
        <v/>
      </c>
      <c r="U26" s="16">
        <f>SUM(U19:U25)</f>
        <v/>
      </c>
      <c r="V26" s="16">
        <f>SUM(V19:V25)</f>
        <v/>
      </c>
      <c r="W26" s="16">
        <f>SUM(W19:W25)</f>
        <v/>
      </c>
      <c r="X26" s="16">
        <f>SUM(X19:X25)</f>
        <v/>
      </c>
      <c r="Y26" s="16">
        <f>SUM(Y19:Y25)</f>
        <v/>
      </c>
      <c r="Z26" s="16">
        <f>SUM(Z19:Z25)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Z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2">
      <c r="B2" s="1" t="inlineStr">
        <is>
          <t>P&amp;L consolidé — 24 mois</t>
        </is>
      </c>
    </row>
    <row r="4">
      <c r="B4" s="12" t="inlineStr">
        <is>
          <t>Poste</t>
        </is>
      </c>
      <c r="C4" s="13" t="inlineStr">
        <is>
          <t>M1</t>
        </is>
      </c>
      <c r="D4" s="13" t="inlineStr">
        <is>
          <t>M2</t>
        </is>
      </c>
      <c r="E4" s="13" t="inlineStr">
        <is>
          <t>M3</t>
        </is>
      </c>
      <c r="F4" s="13" t="inlineStr">
        <is>
          <t>M4</t>
        </is>
      </c>
      <c r="G4" s="13" t="inlineStr">
        <is>
          <t>M5</t>
        </is>
      </c>
      <c r="H4" s="13" t="inlineStr">
        <is>
          <t>M6</t>
        </is>
      </c>
      <c r="I4" s="13" t="inlineStr">
        <is>
          <t>M7</t>
        </is>
      </c>
      <c r="J4" s="13" t="inlineStr">
        <is>
          <t>M8</t>
        </is>
      </c>
      <c r="K4" s="13" t="inlineStr">
        <is>
          <t>M9</t>
        </is>
      </c>
      <c r="L4" s="13" t="inlineStr">
        <is>
          <t>M10</t>
        </is>
      </c>
      <c r="M4" s="13" t="inlineStr">
        <is>
          <t>M11</t>
        </is>
      </c>
      <c r="N4" s="13" t="inlineStr">
        <is>
          <t>M12</t>
        </is>
      </c>
      <c r="O4" s="13" t="inlineStr">
        <is>
          <t>M13</t>
        </is>
      </c>
      <c r="P4" s="13" t="inlineStr">
        <is>
          <t>M14</t>
        </is>
      </c>
      <c r="Q4" s="13" t="inlineStr">
        <is>
          <t>M15</t>
        </is>
      </c>
      <c r="R4" s="13" t="inlineStr">
        <is>
          <t>M16</t>
        </is>
      </c>
      <c r="S4" s="13" t="inlineStr">
        <is>
          <t>M17</t>
        </is>
      </c>
      <c r="T4" s="13" t="inlineStr">
        <is>
          <t>M18</t>
        </is>
      </c>
      <c r="U4" s="13" t="inlineStr">
        <is>
          <t>M19</t>
        </is>
      </c>
      <c r="V4" s="13" t="inlineStr">
        <is>
          <t>M20</t>
        </is>
      </c>
      <c r="W4" s="13" t="inlineStr">
        <is>
          <t>M21</t>
        </is>
      </c>
      <c r="X4" s="13" t="inlineStr">
        <is>
          <t>M22</t>
        </is>
      </c>
      <c r="Y4" s="13" t="inlineStr">
        <is>
          <t>M23</t>
        </is>
      </c>
      <c r="Z4" s="13" t="inlineStr">
        <is>
          <t>M24</t>
        </is>
      </c>
    </row>
    <row r="5">
      <c r="B5" s="4" t="inlineStr">
        <is>
          <t>Recettes plateforme</t>
        </is>
      </c>
      <c r="C5" s="17">
        <f>Recettes!C7</f>
        <v/>
      </c>
      <c r="D5" s="17">
        <f>Recettes!D7</f>
        <v/>
      </c>
      <c r="E5" s="17">
        <f>Recettes!E7</f>
        <v/>
      </c>
      <c r="F5" s="17">
        <f>Recettes!F7</f>
        <v/>
      </c>
      <c r="G5" s="17">
        <f>Recettes!G7</f>
        <v/>
      </c>
      <c r="H5" s="17">
        <f>Recettes!H7</f>
        <v/>
      </c>
      <c r="I5" s="17">
        <f>Recettes!I7</f>
        <v/>
      </c>
      <c r="J5" s="17">
        <f>Recettes!J7</f>
        <v/>
      </c>
      <c r="K5" s="17">
        <f>Recettes!K7</f>
        <v/>
      </c>
      <c r="L5" s="17">
        <f>Recettes!L7</f>
        <v/>
      </c>
      <c r="M5" s="17">
        <f>Recettes!M7</f>
        <v/>
      </c>
      <c r="N5" s="17">
        <f>Recettes!N7</f>
        <v/>
      </c>
      <c r="O5" s="17">
        <f>Recettes!O7</f>
        <v/>
      </c>
      <c r="P5" s="17">
        <f>Recettes!P7</f>
        <v/>
      </c>
      <c r="Q5" s="17">
        <f>Recettes!Q7</f>
        <v/>
      </c>
      <c r="R5" s="17">
        <f>Recettes!R7</f>
        <v/>
      </c>
      <c r="S5" s="17">
        <f>Recettes!S7</f>
        <v/>
      </c>
      <c r="T5" s="17">
        <f>Recettes!T7</f>
        <v/>
      </c>
      <c r="U5" s="17">
        <f>Recettes!U7</f>
        <v/>
      </c>
      <c r="V5" s="17">
        <f>Recettes!V7</f>
        <v/>
      </c>
      <c r="W5" s="17">
        <f>Recettes!W7</f>
        <v/>
      </c>
      <c r="X5" s="17">
        <f>Recettes!X7</f>
        <v/>
      </c>
      <c r="Y5" s="17">
        <f>Recettes!Y7</f>
        <v/>
      </c>
      <c r="Z5" s="17">
        <f>Recettes!Z7</f>
        <v/>
      </c>
    </row>
    <row r="6">
      <c r="B6" s="4" t="inlineStr">
        <is>
          <t>CAPEX (M1)</t>
        </is>
      </c>
      <c r="C6" s="17">
        <f>-Charges!$C$15</f>
        <v/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</v>
      </c>
      <c r="J6" s="17" t="n">
        <v>0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7" t="n">
        <v>0</v>
      </c>
    </row>
    <row r="7">
      <c r="B7" s="4" t="inlineStr">
        <is>
          <t>OPEX récurrent</t>
        </is>
      </c>
      <c r="C7" s="17">
        <f>-Charges!C26</f>
        <v/>
      </c>
      <c r="D7" s="17">
        <f>-Charges!D26</f>
        <v/>
      </c>
      <c r="E7" s="17">
        <f>-Charges!E26</f>
        <v/>
      </c>
      <c r="F7" s="17">
        <f>-Charges!F26</f>
        <v/>
      </c>
      <c r="G7" s="17">
        <f>-Charges!G26</f>
        <v/>
      </c>
      <c r="H7" s="17">
        <f>-Charges!H26</f>
        <v/>
      </c>
      <c r="I7" s="17">
        <f>-Charges!I26</f>
        <v/>
      </c>
      <c r="J7" s="17">
        <f>-Charges!J26</f>
        <v/>
      </c>
      <c r="K7" s="17">
        <f>-Charges!K26</f>
        <v/>
      </c>
      <c r="L7" s="17">
        <f>-Charges!L26</f>
        <v/>
      </c>
      <c r="M7" s="17">
        <f>-Charges!M26</f>
        <v/>
      </c>
      <c r="N7" s="17">
        <f>-Charges!N26</f>
        <v/>
      </c>
      <c r="O7" s="17">
        <f>-Charges!O26</f>
        <v/>
      </c>
      <c r="P7" s="17">
        <f>-Charges!P26</f>
        <v/>
      </c>
      <c r="Q7" s="17">
        <f>-Charges!Q26</f>
        <v/>
      </c>
      <c r="R7" s="17">
        <f>-Charges!R26</f>
        <v/>
      </c>
      <c r="S7" s="17">
        <f>-Charges!S26</f>
        <v/>
      </c>
      <c r="T7" s="17">
        <f>-Charges!T26</f>
        <v/>
      </c>
      <c r="U7" s="17">
        <f>-Charges!U26</f>
        <v/>
      </c>
      <c r="V7" s="17">
        <f>-Charges!V26</f>
        <v/>
      </c>
      <c r="W7" s="17">
        <f>-Charges!W26</f>
        <v/>
      </c>
      <c r="X7" s="17">
        <f>-Charges!X26</f>
        <v/>
      </c>
      <c r="Y7" s="17">
        <f>-Charges!Y26</f>
        <v/>
      </c>
      <c r="Z7" s="17">
        <f>-Charges!Z26</f>
        <v/>
      </c>
    </row>
    <row r="8">
      <c r="B8" s="14" t="inlineStr">
        <is>
          <t>Résultat avant impôt</t>
        </is>
      </c>
      <c r="C8" s="16">
        <f>C5+C6+C7</f>
        <v/>
      </c>
      <c r="D8" s="16">
        <f>D5+D6+D7</f>
        <v/>
      </c>
      <c r="E8" s="16">
        <f>E5+E6+E7</f>
        <v/>
      </c>
      <c r="F8" s="16">
        <f>F5+F6+F7</f>
        <v/>
      </c>
      <c r="G8" s="16">
        <f>G5+G6+G7</f>
        <v/>
      </c>
      <c r="H8" s="16">
        <f>H5+H6+H7</f>
        <v/>
      </c>
      <c r="I8" s="16">
        <f>I5+I6+I7</f>
        <v/>
      </c>
      <c r="J8" s="16">
        <f>J5+J6+J7</f>
        <v/>
      </c>
      <c r="K8" s="16">
        <f>K5+K6+K7</f>
        <v/>
      </c>
      <c r="L8" s="16">
        <f>L5+L6+L7</f>
        <v/>
      </c>
      <c r="M8" s="16">
        <f>M5+M6+M7</f>
        <v/>
      </c>
      <c r="N8" s="16">
        <f>N5+N6+N7</f>
        <v/>
      </c>
      <c r="O8" s="16">
        <f>O5+O6+O7</f>
        <v/>
      </c>
      <c r="P8" s="16">
        <f>P5+P6+P7</f>
        <v/>
      </c>
      <c r="Q8" s="16">
        <f>Q5+Q6+Q7</f>
        <v/>
      </c>
      <c r="R8" s="16">
        <f>R5+R6+R7</f>
        <v/>
      </c>
      <c r="S8" s="16">
        <f>S5+S6+S7</f>
        <v/>
      </c>
      <c r="T8" s="16">
        <f>T5+T6+T7</f>
        <v/>
      </c>
      <c r="U8" s="16">
        <f>U5+U6+U7</f>
        <v/>
      </c>
      <c r="V8" s="16">
        <f>V5+V6+V7</f>
        <v/>
      </c>
      <c r="W8" s="16">
        <f>W5+W6+W7</f>
        <v/>
      </c>
      <c r="X8" s="16">
        <f>X5+X6+X7</f>
        <v/>
      </c>
      <c r="Y8" s="16">
        <f>Y5+Y6+Y7</f>
        <v/>
      </c>
      <c r="Z8" s="16">
        <f>Z5+Z6+Z7</f>
        <v/>
      </c>
    </row>
    <row r="10">
      <c r="B10" s="4" t="inlineStr">
        <is>
          <t>Trésorerie début de mois</t>
        </is>
      </c>
      <c r="C10" s="17">
        <f>'Hypothèses'!$C$24</f>
        <v/>
      </c>
      <c r="D10" s="17">
        <f>C11</f>
        <v/>
      </c>
      <c r="E10" s="17">
        <f>D11</f>
        <v/>
      </c>
      <c r="F10" s="17">
        <f>E11</f>
        <v/>
      </c>
      <c r="G10" s="17">
        <f>F11</f>
        <v/>
      </c>
      <c r="H10" s="17">
        <f>G11</f>
        <v/>
      </c>
      <c r="I10" s="17">
        <f>H11</f>
        <v/>
      </c>
      <c r="J10" s="17">
        <f>I11</f>
        <v/>
      </c>
      <c r="K10" s="17">
        <f>J11</f>
        <v/>
      </c>
      <c r="L10" s="17">
        <f>K11</f>
        <v/>
      </c>
      <c r="M10" s="17">
        <f>L11</f>
        <v/>
      </c>
      <c r="N10" s="17">
        <f>M11</f>
        <v/>
      </c>
      <c r="O10" s="17">
        <f>N11</f>
        <v/>
      </c>
      <c r="P10" s="17">
        <f>O11</f>
        <v/>
      </c>
      <c r="Q10" s="17">
        <f>P11</f>
        <v/>
      </c>
      <c r="R10" s="17">
        <f>Q11</f>
        <v/>
      </c>
      <c r="S10" s="17">
        <f>R11</f>
        <v/>
      </c>
      <c r="T10" s="17">
        <f>S11</f>
        <v/>
      </c>
      <c r="U10" s="17">
        <f>T11</f>
        <v/>
      </c>
      <c r="V10" s="17">
        <f>U11</f>
        <v/>
      </c>
      <c r="W10" s="17">
        <f>V11</f>
        <v/>
      </c>
      <c r="X10" s="17">
        <f>W11</f>
        <v/>
      </c>
      <c r="Y10" s="17">
        <f>X11</f>
        <v/>
      </c>
      <c r="Z10" s="17">
        <f>Y11</f>
        <v/>
      </c>
    </row>
    <row r="11">
      <c r="B11" s="9" t="inlineStr">
        <is>
          <t>Trésorerie fin de mois</t>
        </is>
      </c>
      <c r="C11" s="15">
        <f>C10+C8</f>
        <v/>
      </c>
      <c r="D11" s="15">
        <f>D10+D8</f>
        <v/>
      </c>
      <c r="E11" s="15">
        <f>E10+E8</f>
        <v/>
      </c>
      <c r="F11" s="15">
        <f>F10+F8</f>
        <v/>
      </c>
      <c r="G11" s="15">
        <f>G10+G8</f>
        <v/>
      </c>
      <c r="H11" s="15">
        <f>H10+H8</f>
        <v/>
      </c>
      <c r="I11" s="15">
        <f>I10+I8</f>
        <v/>
      </c>
      <c r="J11" s="15">
        <f>J10+J8</f>
        <v/>
      </c>
      <c r="K11" s="15">
        <f>K10+K8</f>
        <v/>
      </c>
      <c r="L11" s="15">
        <f>L10+L8</f>
        <v/>
      </c>
      <c r="M11" s="15">
        <f>M10+M8</f>
        <v/>
      </c>
      <c r="N11" s="15">
        <f>N10+N8</f>
        <v/>
      </c>
      <c r="O11" s="15">
        <f>O10+O8</f>
        <v/>
      </c>
      <c r="P11" s="15">
        <f>P10+P8</f>
        <v/>
      </c>
      <c r="Q11" s="15">
        <f>Q10+Q8</f>
        <v/>
      </c>
      <c r="R11" s="15">
        <f>R10+R8</f>
        <v/>
      </c>
      <c r="S11" s="15">
        <f>S10+S8</f>
        <v/>
      </c>
      <c r="T11" s="15">
        <f>T10+T8</f>
        <v/>
      </c>
      <c r="U11" s="15">
        <f>U10+U8</f>
        <v/>
      </c>
      <c r="V11" s="15">
        <f>V10+V8</f>
        <v/>
      </c>
      <c r="W11" s="15">
        <f>W10+W8</f>
        <v/>
      </c>
      <c r="X11" s="15">
        <f>X10+X8</f>
        <v/>
      </c>
      <c r="Y11" s="15">
        <f>Y10+Y8</f>
        <v/>
      </c>
      <c r="Z11" s="15">
        <f>Z10+Z8</f>
        <v/>
      </c>
    </row>
    <row r="13">
      <c r="B13" s="3" t="inlineStr">
        <is>
          <t>Synthèse</t>
        </is>
      </c>
    </row>
    <row r="14">
      <c r="B14" t="inlineStr">
        <is>
          <t>Recettes An 1</t>
        </is>
      </c>
      <c r="C14" s="18">
        <f>SUM(C5:N5)</f>
        <v/>
      </c>
    </row>
    <row r="15">
      <c r="B15" t="inlineStr">
        <is>
          <t>Recettes An 2</t>
        </is>
      </c>
      <c r="C15" s="18">
        <f>SUM(O5:Z5)</f>
        <v/>
      </c>
    </row>
    <row r="16">
      <c r="B16" t="inlineStr">
        <is>
          <t>Charges An 1 (CAPEX+OPEX)</t>
        </is>
      </c>
      <c r="C16" s="18">
        <f>-SUM(C6:N7)</f>
        <v/>
      </c>
    </row>
    <row r="17">
      <c r="B17" t="inlineStr">
        <is>
          <t>Charges An 2</t>
        </is>
      </c>
      <c r="C17" s="18">
        <f>-SUM(O6:Z7)</f>
        <v/>
      </c>
    </row>
    <row r="18">
      <c r="B18" t="inlineStr">
        <is>
          <t>Résultat avant impôt An 1</t>
        </is>
      </c>
      <c r="C18" s="15">
        <f>C14-C16</f>
        <v/>
      </c>
    </row>
    <row r="19">
      <c r="B19" t="inlineStr">
        <is>
          <t>Résultat avant impôt An 2</t>
        </is>
      </c>
      <c r="C19" s="15">
        <f>C15-C17</f>
        <v/>
      </c>
    </row>
    <row r="20">
      <c r="B20" t="inlineStr">
        <is>
          <t>IS An 2 (30% si positif)</t>
        </is>
      </c>
      <c r="C20" s="18">
        <f>-'Hypothèses'!$C$21*MAX(0,C19)</f>
        <v/>
      </c>
    </row>
    <row r="21">
      <c r="B21" t="inlineStr">
        <is>
          <t>Résultat NET An 2</t>
        </is>
      </c>
      <c r="C21" s="16">
        <f>C19+C20</f>
        <v/>
      </c>
    </row>
    <row r="23">
      <c r="B23" t="inlineStr">
        <is>
          <t>Trésorerie fin M12</t>
        </is>
      </c>
      <c r="C23" s="18">
        <f>N11</f>
        <v/>
      </c>
    </row>
    <row r="24">
      <c r="B24" t="inlineStr">
        <is>
          <t>Trésorerie fin M24</t>
        </is>
      </c>
      <c r="C24" s="18">
        <f>Z11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8" customWidth="1" min="3" max="3"/>
    <col width="44" customWidth="1" min="4" max="4"/>
  </cols>
  <sheetData>
    <row r="2">
      <c r="B2" s="1" t="inlineStr">
        <is>
          <t>Rendement investisseur — ticket 1 M FCFA</t>
        </is>
      </c>
    </row>
    <row r="3">
      <c r="B3" s="2" t="inlineStr">
        <is>
          <t>Basé sur le P&amp;L ci-contre (prix course 1 500 F). Hypothèse conservatrice.</t>
        </is>
      </c>
    </row>
    <row r="5">
      <c r="B5" s="4" t="inlineStr">
        <is>
          <t>Part de l'investisseur au capital</t>
        </is>
      </c>
      <c r="C5" s="19">
        <f>'Hypothèses'!$C$26/'Hypothèses'!$C$25</f>
        <v/>
      </c>
      <c r="D5" s="2" t="inlineStr">
        <is>
          <t>1 M / 30 M</t>
        </is>
      </c>
    </row>
    <row r="7">
      <c r="B7" s="4" t="inlineStr">
        <is>
          <t>Résultat net An 2 (société)</t>
        </is>
      </c>
      <c r="C7" s="7">
        <f>'P&amp;L 24 mois'!C21</f>
        <v/>
      </c>
      <c r="D7" s="2" t="inlineStr">
        <is>
          <t>Après IS</t>
        </is>
      </c>
    </row>
    <row r="8">
      <c r="B8" s="4" t="inlineStr">
        <is>
          <t>Dividendes distribués An 2 (40%)</t>
        </is>
      </c>
      <c r="C8" s="7">
        <f>'Hypothèses'!$C$23*MAX(0,'P&amp;L 24 mois'!C21)</f>
        <v/>
      </c>
      <c r="D8" s="2" t="inlineStr">
        <is>
          <t>Si résultat positif</t>
        </is>
      </c>
    </row>
    <row r="9">
      <c r="B9" s="4" t="inlineStr">
        <is>
          <t>Part de l'investisseur (brut)</t>
        </is>
      </c>
      <c r="C9" s="7">
        <f>C5*C8</f>
        <v/>
      </c>
      <c r="D9" s="2" t="inlineStr">
        <is>
          <t>Sa quote-part</t>
        </is>
      </c>
    </row>
    <row r="10">
      <c r="B10" s="4" t="inlineStr">
        <is>
          <t>Dividende net d'IRCM (An 2)</t>
        </is>
      </c>
      <c r="C10" s="7">
        <f>C9*(1-'Hypothèses'!$C$22)</f>
        <v/>
      </c>
      <c r="D10" s="2" t="inlineStr">
        <is>
          <t>Après retenue 10%</t>
        </is>
      </c>
    </row>
    <row r="12">
      <c r="B12" s="4" t="inlineStr">
        <is>
          <t>Dividendes nets cumulés ~5 ans</t>
        </is>
      </c>
      <c r="C12" s="7">
        <f>C10*3.5</f>
        <v/>
      </c>
      <c r="D12" s="2" t="inlineStr">
        <is>
          <t>Hyp. An3-5 ≈ 3,5× l'An 2 (croissance)</t>
        </is>
      </c>
    </row>
    <row r="14">
      <c r="B14" s="4" t="inlineStr">
        <is>
          <t>Valeur de la société à la sortie</t>
        </is>
      </c>
      <c r="C14" s="7">
        <f>'Hypothèses'!$C$27*MAX(0,'P&amp;L 24 mois'!C21)</f>
        <v/>
      </c>
      <c r="D14" s="2" t="inlineStr">
        <is>
          <t>Multiple × résultat net An 2</t>
        </is>
      </c>
    </row>
    <row r="15">
      <c r="B15" s="4" t="inlineStr">
        <is>
          <t>Valeur du ticket à la sortie</t>
        </is>
      </c>
      <c r="C15" s="7">
        <f>C5*C14</f>
        <v/>
      </c>
      <c r="D15" s="2" t="inlineStr">
        <is>
          <t>Quote-part de l'investisseur</t>
        </is>
      </c>
    </row>
    <row r="17">
      <c r="B17" s="4" t="inlineStr">
        <is>
          <t>Ticket de départ</t>
        </is>
      </c>
      <c r="C17" s="7">
        <f>'Hypothèses'!$C$26</f>
        <v/>
      </c>
      <c r="D17" s="2" t="inlineStr"/>
    </row>
    <row r="18">
      <c r="B18" s="9" t="inlineStr">
        <is>
          <t>RETOUR TOTAL (dividendes + plus-value)</t>
        </is>
      </c>
      <c r="C18" s="10">
        <f>C12+C15</f>
        <v/>
      </c>
      <c r="D18" s="2" t="inlineStr">
        <is>
          <t>Sur ~5 ans</t>
        </is>
      </c>
    </row>
    <row r="19">
      <c r="B19" s="9" t="inlineStr">
        <is>
          <t>RETOUR en % du ticket</t>
        </is>
      </c>
      <c r="C19" s="20">
        <f>(C12+C15)/C17-1</f>
        <v/>
      </c>
      <c r="D19" s="2" t="inlineStr"/>
    </row>
    <row r="21">
      <c r="B21" s="2" t="inlineStr">
        <is>
          <t>⚠️ Chiffres pilotés par les Hypothèses. La valorisation à la sortie dépend fortement du multiple (C27) et du résultat An 2 — à challenger avec un CFO.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2026-07-24T20:52:51Z</dcterms:created>
  <dcterms:modified xmlns:dcterms="http://purl.org/dc/terms/" xmlns:xsi="http://www.w3.org/2001/XMLSchema-instance" xsi:type="dcterms:W3CDTF">2026-07-24T20:52:51Z</dcterms:modified>
</cp:coreProperties>
</file>