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ERENCE\TamCar\App\"/>
    </mc:Choice>
  </mc:AlternateContent>
  <bookViews>
    <workbookView xWindow="0" yWindow="0" windowWidth="19368" windowHeight="9072"/>
  </bookViews>
  <sheets>
    <sheet name="Résumé" sheetId="1" r:id="rId1"/>
    <sheet name="Hypothèses" sheetId="2" r:id="rId2"/>
    <sheet name="Démarrage" sheetId="3" r:id="rId3"/>
    <sheet name="Recettes" sheetId="4" r:id="rId4"/>
    <sheet name="Charges" sheetId="5" r:id="rId5"/>
    <sheet name="Marge" sheetId="6" r:id="rId6"/>
    <sheet name="Résultat" sheetId="7" r:id="rId7"/>
    <sheet name="Mensuel" sheetId="8" r:id="rId8"/>
    <sheet name="Synthèse" sheetId="9" r:id="rId9"/>
  </sheets>
  <calcPr calcId="162913"/>
</workbook>
</file>

<file path=xl/calcChain.xml><?xml version="1.0" encoding="utf-8"?>
<calcChain xmlns="http://schemas.openxmlformats.org/spreadsheetml/2006/main">
  <c r="B63" i="9" l="1"/>
  <c r="AQ83" i="8"/>
  <c r="AP83" i="8"/>
  <c r="AO83" i="8"/>
  <c r="AN83" i="8"/>
  <c r="AM83" i="8"/>
  <c r="AL83" i="8"/>
  <c r="AK83"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B83" i="8"/>
  <c r="AQ82" i="8"/>
  <c r="AP82" i="8"/>
  <c r="AO82" i="8"/>
  <c r="AN82" i="8"/>
  <c r="AM82" i="8"/>
  <c r="AL82" i="8"/>
  <c r="AK82"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B82" i="8" s="1"/>
  <c r="AQ76" i="8"/>
  <c r="AP76" i="8"/>
  <c r="AO76" i="8"/>
  <c r="AN76" i="8"/>
  <c r="AM76" i="8"/>
  <c r="AL76" i="8"/>
  <c r="AK76"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C76" i="8" s="1"/>
  <c r="B18" i="7" s="1"/>
  <c r="I76" i="8"/>
  <c r="H76" i="8"/>
  <c r="G76" i="8"/>
  <c r="B76" i="8"/>
  <c r="AQ75" i="8"/>
  <c r="AP75" i="8"/>
  <c r="AP77" i="8" s="1"/>
  <c r="AO75" i="8"/>
  <c r="AO77" i="8" s="1"/>
  <c r="AN75" i="8"/>
  <c r="AN77" i="8" s="1"/>
  <c r="AM75" i="8"/>
  <c r="AM77" i="8" s="1"/>
  <c r="AL75" i="8"/>
  <c r="AL77" i="8" s="1"/>
  <c r="AK75" i="8"/>
  <c r="AJ75" i="8"/>
  <c r="AJ77" i="8" s="1"/>
  <c r="AI75" i="8"/>
  <c r="AH75" i="8"/>
  <c r="AH77" i="8" s="1"/>
  <c r="AG75" i="8"/>
  <c r="AG77" i="8" s="1"/>
  <c r="AF75" i="8"/>
  <c r="AF77" i="8" s="1"/>
  <c r="AE75" i="8"/>
  <c r="AE77" i="8" s="1"/>
  <c r="AD75" i="8"/>
  <c r="AD77" i="8" s="1"/>
  <c r="AC75" i="8"/>
  <c r="AC77" i="8" s="1"/>
  <c r="AB75" i="8"/>
  <c r="AB77" i="8" s="1"/>
  <c r="AA75" i="8"/>
  <c r="Z75" i="8"/>
  <c r="Z77" i="8" s="1"/>
  <c r="Y75" i="8"/>
  <c r="Y77" i="8" s="1"/>
  <c r="X75" i="8"/>
  <c r="X77" i="8" s="1"/>
  <c r="W75" i="8"/>
  <c r="W77" i="8" s="1"/>
  <c r="V75" i="8"/>
  <c r="V77" i="8" s="1"/>
  <c r="U75" i="8"/>
  <c r="U77" i="8" s="1"/>
  <c r="T75" i="8"/>
  <c r="T77" i="8" s="1"/>
  <c r="S75" i="8"/>
  <c r="R75" i="8"/>
  <c r="R77" i="8" s="1"/>
  <c r="Q75" i="8"/>
  <c r="Q77" i="8" s="1"/>
  <c r="P75" i="8"/>
  <c r="P77" i="8" s="1"/>
  <c r="O75" i="8"/>
  <c r="O77" i="8" s="1"/>
  <c r="N75" i="8"/>
  <c r="N77" i="8" s="1"/>
  <c r="M75" i="8"/>
  <c r="M77" i="8" s="1"/>
  <c r="L75" i="8"/>
  <c r="K75" i="8"/>
  <c r="J75" i="8"/>
  <c r="J77" i="8" s="1"/>
  <c r="I75" i="8"/>
  <c r="I77" i="8" s="1"/>
  <c r="H75" i="8"/>
  <c r="H77" i="8" s="1"/>
  <c r="G75" i="8"/>
  <c r="B75" i="8" s="1"/>
  <c r="AQ74" i="8"/>
  <c r="AP74" i="8"/>
  <c r="AO74" i="8"/>
  <c r="AN74" i="8"/>
  <c r="AM74" i="8"/>
  <c r="AL74" i="8"/>
  <c r="AK74"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B74" i="8" s="1"/>
  <c r="AQ72" i="8"/>
  <c r="AP72" i="8"/>
  <c r="AO72" i="8"/>
  <c r="AN72" i="8"/>
  <c r="AM72" i="8"/>
  <c r="AL72" i="8"/>
  <c r="AK72"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B72" i="8"/>
  <c r="G62" i="8"/>
  <c r="B62" i="8" s="1"/>
  <c r="B54" i="9" s="1"/>
  <c r="AQ61" i="8"/>
  <c r="AP61" i="8"/>
  <c r="AO61" i="8"/>
  <c r="AN61" i="8"/>
  <c r="AM61" i="8"/>
  <c r="AL61" i="8"/>
  <c r="AK61" i="8"/>
  <c r="AJ61" i="8"/>
  <c r="AI61" i="8"/>
  <c r="AH61" i="8"/>
  <c r="AG61" i="8"/>
  <c r="AF61" i="8"/>
  <c r="AE61" i="8"/>
  <c r="AD61" i="8"/>
  <c r="AC61" i="8"/>
  <c r="AB61" i="8"/>
  <c r="AA61" i="8"/>
  <c r="Z61" i="8"/>
  <c r="Y61" i="8"/>
  <c r="X61" i="8"/>
  <c r="W61" i="8"/>
  <c r="V61" i="8"/>
  <c r="U61" i="8"/>
  <c r="T61" i="8"/>
  <c r="S61" i="8"/>
  <c r="R61" i="8"/>
  <c r="L36" i="4" s="1"/>
  <c r="Q61" i="8"/>
  <c r="P61" i="8"/>
  <c r="O61" i="8"/>
  <c r="N61" i="8"/>
  <c r="M61" i="8"/>
  <c r="L61" i="8"/>
  <c r="K61" i="8"/>
  <c r="J61" i="8"/>
  <c r="D36" i="4" s="1"/>
  <c r="I61" i="8"/>
  <c r="H61" i="8"/>
  <c r="B61" i="8"/>
  <c r="B53" i="9" s="1"/>
  <c r="AQ60" i="8"/>
  <c r="AP60" i="8"/>
  <c r="AO60" i="8"/>
  <c r="AN60" i="8"/>
  <c r="AM60" i="8"/>
  <c r="AL60" i="8"/>
  <c r="AK60" i="8"/>
  <c r="AJ60" i="8"/>
  <c r="AI60" i="8"/>
  <c r="AH60" i="8"/>
  <c r="AG60" i="8"/>
  <c r="AF60" i="8"/>
  <c r="AE60" i="8"/>
  <c r="AD60" i="8"/>
  <c r="AC60" i="8"/>
  <c r="AB60" i="8"/>
  <c r="AA60" i="8"/>
  <c r="Z60" i="8"/>
  <c r="Y60" i="8"/>
  <c r="X60" i="8"/>
  <c r="W60" i="8"/>
  <c r="V60" i="8"/>
  <c r="U60" i="8"/>
  <c r="T60" i="8"/>
  <c r="S60" i="8"/>
  <c r="R60" i="8"/>
  <c r="Q60" i="8"/>
  <c r="P60" i="8"/>
  <c r="O60" i="8"/>
  <c r="I35" i="4" s="1"/>
  <c r="N60" i="8"/>
  <c r="M60" i="8"/>
  <c r="L60" i="8"/>
  <c r="K60" i="8"/>
  <c r="J60" i="8"/>
  <c r="I60" i="8"/>
  <c r="H60" i="8"/>
  <c r="B60" i="8"/>
  <c r="B52" i="9" s="1"/>
  <c r="B59" i="8"/>
  <c r="B51" i="9" s="1"/>
  <c r="B58" i="8"/>
  <c r="AQ51" i="8"/>
  <c r="AP51" i="8"/>
  <c r="AO51" i="8"/>
  <c r="AN51" i="8"/>
  <c r="AM51" i="8"/>
  <c r="AL51" i="8"/>
  <c r="AK51" i="8"/>
  <c r="AJ51" i="8"/>
  <c r="AI51" i="8"/>
  <c r="AH51" i="8"/>
  <c r="AG51" i="8"/>
  <c r="AF51" i="8"/>
  <c r="E51" i="8" s="1"/>
  <c r="AE51" i="8"/>
  <c r="AD51" i="8"/>
  <c r="AC51" i="8"/>
  <c r="AB51" i="8"/>
  <c r="AA51" i="8"/>
  <c r="Z51" i="8"/>
  <c r="Y51" i="8"/>
  <c r="X51" i="8"/>
  <c r="W51" i="8"/>
  <c r="V51" i="8"/>
  <c r="U51" i="8"/>
  <c r="T51" i="8"/>
  <c r="S51" i="8"/>
  <c r="R51" i="8"/>
  <c r="Q51" i="8"/>
  <c r="P51" i="8"/>
  <c r="O51" i="8"/>
  <c r="N51" i="8"/>
  <c r="M51" i="8"/>
  <c r="L51" i="8"/>
  <c r="K51" i="8"/>
  <c r="J51" i="8"/>
  <c r="I51" i="8"/>
  <c r="G51" i="8"/>
  <c r="B51" i="8"/>
  <c r="B44" i="5" s="1"/>
  <c r="AQ49" i="8"/>
  <c r="AP49" i="8"/>
  <c r="AO49" i="8"/>
  <c r="AN49" i="8"/>
  <c r="AM49" i="8"/>
  <c r="AL49" i="8"/>
  <c r="AK49" i="8"/>
  <c r="AJ49" i="8"/>
  <c r="AI49" i="8"/>
  <c r="AH49" i="8"/>
  <c r="AG49" i="8"/>
  <c r="AF49" i="8"/>
  <c r="AE49" i="8"/>
  <c r="AD49" i="8"/>
  <c r="AC49" i="8"/>
  <c r="AB49" i="8"/>
  <c r="AA49" i="8"/>
  <c r="Z49" i="8"/>
  <c r="Y49" i="8"/>
  <c r="X49" i="8"/>
  <c r="W49" i="8"/>
  <c r="V49" i="8"/>
  <c r="U49" i="8"/>
  <c r="T49" i="8"/>
  <c r="S49" i="8"/>
  <c r="R49" i="8"/>
  <c r="Q49" i="8"/>
  <c r="P49" i="8"/>
  <c r="O49" i="8"/>
  <c r="N49" i="8"/>
  <c r="M49" i="8"/>
  <c r="L49" i="8"/>
  <c r="K49" i="8"/>
  <c r="J49" i="8"/>
  <c r="I49" i="8"/>
  <c r="G49" i="8"/>
  <c r="B49" i="8"/>
  <c r="B42" i="9" s="1"/>
  <c r="AQ44" i="8"/>
  <c r="AP44" i="8"/>
  <c r="AO44" i="8"/>
  <c r="AN44" i="8"/>
  <c r="AM44" i="8"/>
  <c r="AL44" i="8"/>
  <c r="AK44" i="8"/>
  <c r="AJ44" i="8"/>
  <c r="AI44" i="8"/>
  <c r="AH44" i="8"/>
  <c r="AG44" i="8"/>
  <c r="AF44" i="8"/>
  <c r="AE44" i="8"/>
  <c r="AD44" i="8"/>
  <c r="AC44" i="8"/>
  <c r="AB44" i="8"/>
  <c r="AA44" i="8"/>
  <c r="Z44" i="8"/>
  <c r="Y44" i="8"/>
  <c r="X44" i="8"/>
  <c r="W44" i="8"/>
  <c r="V44" i="8"/>
  <c r="U44" i="8"/>
  <c r="T44" i="8"/>
  <c r="S44" i="8"/>
  <c r="R44" i="8"/>
  <c r="Q44" i="8"/>
  <c r="P44" i="8"/>
  <c r="O44" i="8"/>
  <c r="N44" i="8"/>
  <c r="M44" i="8"/>
  <c r="L44" i="8"/>
  <c r="K44" i="8"/>
  <c r="J44" i="8"/>
  <c r="I44" i="8"/>
  <c r="G44" i="8"/>
  <c r="B44" i="8" s="1"/>
  <c r="AQ42" i="8"/>
  <c r="AP42" i="8"/>
  <c r="AO42" i="8"/>
  <c r="AN42" i="8"/>
  <c r="AM42" i="8"/>
  <c r="AL42" i="8"/>
  <c r="AK42" i="8"/>
  <c r="AJ42" i="8"/>
  <c r="AI42" i="8"/>
  <c r="AH42" i="8"/>
  <c r="AG42" i="8"/>
  <c r="AF42" i="8"/>
  <c r="AE42" i="8"/>
  <c r="AD42" i="8"/>
  <c r="AC42" i="8"/>
  <c r="AB42" i="8"/>
  <c r="AA42" i="8"/>
  <c r="Z42" i="8"/>
  <c r="Y42" i="8"/>
  <c r="X42" i="8"/>
  <c r="W42" i="8"/>
  <c r="V42" i="8"/>
  <c r="D42" i="8" s="1"/>
  <c r="U42" i="8"/>
  <c r="T42" i="8"/>
  <c r="S42" i="8"/>
  <c r="R42" i="8"/>
  <c r="Q42" i="8"/>
  <c r="P42" i="8"/>
  <c r="O42" i="8"/>
  <c r="N42" i="8"/>
  <c r="M42" i="8"/>
  <c r="L42" i="8"/>
  <c r="K42" i="8"/>
  <c r="J42" i="8"/>
  <c r="I42" i="8"/>
  <c r="G42" i="8"/>
  <c r="B42" i="8"/>
  <c r="B35" i="9" s="1"/>
  <c r="G39" i="8"/>
  <c r="B39" i="8" s="1"/>
  <c r="B32" i="9" s="1"/>
  <c r="B38" i="8"/>
  <c r="B31" i="9" s="1"/>
  <c r="AQ37" i="8"/>
  <c r="AP37" i="8"/>
  <c r="AO37" i="8"/>
  <c r="AN37" i="8"/>
  <c r="AM37" i="8"/>
  <c r="AL37" i="8"/>
  <c r="AK37" i="8"/>
  <c r="AJ37" i="8"/>
  <c r="AI37" i="8"/>
  <c r="AH37" i="8"/>
  <c r="AG37" i="8"/>
  <c r="AF37" i="8"/>
  <c r="AE37" i="8"/>
  <c r="AD37" i="8"/>
  <c r="AC37" i="8"/>
  <c r="AB37" i="8"/>
  <c r="AA37" i="8"/>
  <c r="Z37" i="8"/>
  <c r="Y37" i="8"/>
  <c r="X37" i="8"/>
  <c r="W37" i="8"/>
  <c r="V37" i="8"/>
  <c r="U37" i="8"/>
  <c r="D37" i="8" s="1"/>
  <c r="T37" i="8"/>
  <c r="S37" i="8"/>
  <c r="R37" i="8"/>
  <c r="Q37" i="8"/>
  <c r="P37" i="8"/>
  <c r="O37" i="8"/>
  <c r="N37" i="8"/>
  <c r="M37" i="8"/>
  <c r="L37" i="8"/>
  <c r="K37" i="8"/>
  <c r="J37" i="8"/>
  <c r="I37" i="8"/>
  <c r="H37" i="8"/>
  <c r="B37" i="8"/>
  <c r="AQ36" i="8"/>
  <c r="AP36" i="8"/>
  <c r="AO36" i="8"/>
  <c r="AN36" i="8"/>
  <c r="AM36" i="8"/>
  <c r="AL36" i="8"/>
  <c r="AK36" i="8"/>
  <c r="AJ36" i="8"/>
  <c r="AI36" i="8"/>
  <c r="AH36" i="8"/>
  <c r="AG36" i="8"/>
  <c r="AF36" i="8"/>
  <c r="AE36" i="8"/>
  <c r="AD36" i="8"/>
  <c r="AC36" i="8"/>
  <c r="AB36" i="8"/>
  <c r="AA36" i="8"/>
  <c r="Z36" i="8"/>
  <c r="Y36" i="8"/>
  <c r="X36" i="8"/>
  <c r="W36" i="8"/>
  <c r="V36" i="8"/>
  <c r="U36" i="8"/>
  <c r="T36" i="8"/>
  <c r="S36" i="8"/>
  <c r="R36" i="8"/>
  <c r="Q36" i="8"/>
  <c r="P36" i="8"/>
  <c r="O36" i="8"/>
  <c r="N36" i="8"/>
  <c r="M36" i="8"/>
  <c r="L36" i="8"/>
  <c r="K36" i="8"/>
  <c r="J36" i="8"/>
  <c r="I36" i="8"/>
  <c r="H36" i="8"/>
  <c r="B36" i="8"/>
  <c r="B29" i="9" s="1"/>
  <c r="AQ35" i="8"/>
  <c r="AP35" i="8"/>
  <c r="AO35" i="8"/>
  <c r="AN35" i="8"/>
  <c r="AM35" i="8"/>
  <c r="AL35" i="8"/>
  <c r="AK35" i="8"/>
  <c r="AJ35" i="8"/>
  <c r="AI35" i="8"/>
  <c r="AH35" i="8"/>
  <c r="AG35" i="8"/>
  <c r="E35" i="8" s="1"/>
  <c r="E28" i="9" s="1"/>
  <c r="AF35" i="8"/>
  <c r="AE35" i="8"/>
  <c r="AD35" i="8"/>
  <c r="AC35" i="8"/>
  <c r="AB35" i="8"/>
  <c r="AA35" i="8"/>
  <c r="Z35" i="8"/>
  <c r="Y35" i="8"/>
  <c r="X35" i="8"/>
  <c r="W35" i="8"/>
  <c r="V35" i="8"/>
  <c r="U35" i="8"/>
  <c r="T35" i="8"/>
  <c r="S35" i="8"/>
  <c r="R35" i="8"/>
  <c r="Q35" i="8"/>
  <c r="P35" i="8"/>
  <c r="O35" i="8"/>
  <c r="N35" i="8"/>
  <c r="M35" i="8"/>
  <c r="L35" i="8"/>
  <c r="K35" i="8"/>
  <c r="J35" i="8"/>
  <c r="I35" i="8"/>
  <c r="H35" i="8"/>
  <c r="B35" i="8"/>
  <c r="B28" i="9" s="1"/>
  <c r="AQ34" i="8"/>
  <c r="AP34" i="8"/>
  <c r="AO34" i="8"/>
  <c r="AN34" i="8"/>
  <c r="AM34" i="8"/>
  <c r="AL34" i="8"/>
  <c r="AK34" i="8"/>
  <c r="AJ34" i="8"/>
  <c r="AI34" i="8"/>
  <c r="AH34" i="8"/>
  <c r="AG34" i="8"/>
  <c r="AF34" i="8"/>
  <c r="AE34" i="8"/>
  <c r="AD34" i="8"/>
  <c r="AC34" i="8"/>
  <c r="AB34" i="8"/>
  <c r="AA34" i="8"/>
  <c r="Z34" i="8"/>
  <c r="Y34" i="8"/>
  <c r="X34" i="8"/>
  <c r="W34" i="8"/>
  <c r="V34" i="8"/>
  <c r="U34" i="8"/>
  <c r="T34" i="8"/>
  <c r="S34" i="8"/>
  <c r="R34" i="8"/>
  <c r="Q34" i="8"/>
  <c r="P34" i="8"/>
  <c r="O34" i="8"/>
  <c r="N34" i="8"/>
  <c r="M34" i="8"/>
  <c r="L34" i="8"/>
  <c r="K34" i="8"/>
  <c r="J34" i="8"/>
  <c r="I34" i="8"/>
  <c r="H34" i="8"/>
  <c r="B34" i="8"/>
  <c r="B27" i="9" s="1"/>
  <c r="B33" i="8"/>
  <c r="AQ32" i="8"/>
  <c r="AP32" i="8"/>
  <c r="AO32" i="8"/>
  <c r="AN32" i="8"/>
  <c r="AM32" i="8"/>
  <c r="AL32" i="8"/>
  <c r="AK32" i="8"/>
  <c r="AJ32" i="8"/>
  <c r="AI32" i="8"/>
  <c r="AH32" i="8"/>
  <c r="AG32" i="8"/>
  <c r="AF32" i="8"/>
  <c r="AE32" i="8"/>
  <c r="AD32" i="8"/>
  <c r="AC32" i="8"/>
  <c r="AB32" i="8"/>
  <c r="AA32" i="8"/>
  <c r="Z32" i="8"/>
  <c r="Y32" i="8"/>
  <c r="X32" i="8"/>
  <c r="W32" i="8"/>
  <c r="V32" i="8"/>
  <c r="U32" i="8"/>
  <c r="T32" i="8"/>
  <c r="D32" i="8" s="1"/>
  <c r="D25" i="9" s="1"/>
  <c r="S32" i="8"/>
  <c r="R32" i="8"/>
  <c r="Q32" i="8"/>
  <c r="P32" i="8"/>
  <c r="O32" i="8"/>
  <c r="N32" i="8"/>
  <c r="M32" i="8"/>
  <c r="L32" i="8"/>
  <c r="K32" i="8"/>
  <c r="J32" i="8"/>
  <c r="I32" i="8"/>
  <c r="H32" i="8"/>
  <c r="B32" i="8"/>
  <c r="B25" i="9" s="1"/>
  <c r="AQ31" i="8"/>
  <c r="AP31" i="8"/>
  <c r="AO31" i="8"/>
  <c r="AN31" i="8"/>
  <c r="AM31" i="8"/>
  <c r="AL31" i="8"/>
  <c r="AK31" i="8"/>
  <c r="AJ31" i="8"/>
  <c r="AI31" i="8"/>
  <c r="AH31" i="8"/>
  <c r="AG31" i="8"/>
  <c r="AF31" i="8"/>
  <c r="AE31" i="8"/>
  <c r="AD31" i="8"/>
  <c r="AC31" i="8"/>
  <c r="AB31" i="8"/>
  <c r="AA31" i="8"/>
  <c r="Z31" i="8"/>
  <c r="Y31" i="8"/>
  <c r="X31" i="8"/>
  <c r="W31" i="8"/>
  <c r="V31" i="8"/>
  <c r="U31" i="8"/>
  <c r="T31" i="8"/>
  <c r="S31" i="8"/>
  <c r="R31" i="8"/>
  <c r="Q31" i="8"/>
  <c r="P31" i="8"/>
  <c r="O31" i="8"/>
  <c r="N31" i="8"/>
  <c r="M31" i="8"/>
  <c r="L31" i="8"/>
  <c r="K31" i="8"/>
  <c r="J31" i="8"/>
  <c r="I31" i="8"/>
  <c r="H31" i="8"/>
  <c r="B31" i="8"/>
  <c r="B24" i="9" s="1"/>
  <c r="AQ30" i="8"/>
  <c r="AP30" i="8"/>
  <c r="AO30" i="8"/>
  <c r="AN30" i="8"/>
  <c r="AM30" i="8"/>
  <c r="AL30" i="8"/>
  <c r="AK30" i="8"/>
  <c r="AJ30" i="8"/>
  <c r="AI30" i="8"/>
  <c r="AH30" i="8"/>
  <c r="AG30" i="8"/>
  <c r="AF30" i="8"/>
  <c r="AE30" i="8"/>
  <c r="AD30" i="8"/>
  <c r="AC30" i="8"/>
  <c r="AB30" i="8"/>
  <c r="AA30" i="8"/>
  <c r="Z30" i="8"/>
  <c r="Y30" i="8"/>
  <c r="X30" i="8"/>
  <c r="W30" i="8"/>
  <c r="V30" i="8"/>
  <c r="U30" i="8"/>
  <c r="T30" i="8"/>
  <c r="S30" i="8"/>
  <c r="R30" i="8"/>
  <c r="Q30" i="8"/>
  <c r="P30" i="8"/>
  <c r="O30" i="8"/>
  <c r="N30" i="8"/>
  <c r="M30" i="8"/>
  <c r="L30" i="8"/>
  <c r="K30" i="8"/>
  <c r="J30" i="8"/>
  <c r="I30" i="8"/>
  <c r="H30" i="8"/>
  <c r="B30" i="8"/>
  <c r="B23" i="9" s="1"/>
  <c r="AQ29" i="8"/>
  <c r="AP29" i="8"/>
  <c r="AO29" i="8"/>
  <c r="AN29" i="8"/>
  <c r="AM29" i="8"/>
  <c r="AL29" i="8"/>
  <c r="AK29" i="8"/>
  <c r="AJ29" i="8"/>
  <c r="AI29" i="8"/>
  <c r="AH29" i="8"/>
  <c r="AG29" i="8"/>
  <c r="AF29" i="8"/>
  <c r="AE29" i="8"/>
  <c r="AD29" i="8"/>
  <c r="AC29" i="8"/>
  <c r="AB29" i="8"/>
  <c r="AA29" i="8"/>
  <c r="Z29" i="8"/>
  <c r="Y29" i="8"/>
  <c r="X29" i="8"/>
  <c r="W29" i="8"/>
  <c r="V29" i="8"/>
  <c r="U29" i="8"/>
  <c r="T29" i="8"/>
  <c r="S29" i="8"/>
  <c r="R29" i="8"/>
  <c r="Q29" i="8"/>
  <c r="P29" i="8"/>
  <c r="O29" i="8"/>
  <c r="N29" i="8"/>
  <c r="M29" i="8"/>
  <c r="L29" i="8"/>
  <c r="K29" i="8"/>
  <c r="J29" i="8"/>
  <c r="I29" i="8"/>
  <c r="H29" i="8"/>
  <c r="B29" i="8"/>
  <c r="B22" i="9" s="1"/>
  <c r="AQ28" i="8"/>
  <c r="AP28" i="8"/>
  <c r="AO28" i="8"/>
  <c r="AN28" i="8"/>
  <c r="AM28" i="8"/>
  <c r="AL28" i="8"/>
  <c r="AK28" i="8"/>
  <c r="AJ28" i="8"/>
  <c r="AI28" i="8"/>
  <c r="AH28" i="8"/>
  <c r="AG28" i="8"/>
  <c r="AF28" i="8"/>
  <c r="E28" i="8" s="1"/>
  <c r="AE28" i="8"/>
  <c r="AD28" i="8"/>
  <c r="AC28" i="8"/>
  <c r="AB28" i="8"/>
  <c r="AA28" i="8"/>
  <c r="Z28" i="8"/>
  <c r="Y28" i="8"/>
  <c r="X28" i="8"/>
  <c r="W28" i="8"/>
  <c r="V28" i="8"/>
  <c r="U28" i="8"/>
  <c r="T28" i="8"/>
  <c r="S28" i="8"/>
  <c r="R28" i="8"/>
  <c r="Q28" i="8"/>
  <c r="P28" i="8"/>
  <c r="O28" i="8"/>
  <c r="N28" i="8"/>
  <c r="M28" i="8"/>
  <c r="L28" i="8"/>
  <c r="K28" i="8"/>
  <c r="J28" i="8"/>
  <c r="I28" i="8"/>
  <c r="H28" i="8"/>
  <c r="C28" i="8" s="1"/>
  <c r="B28" i="8"/>
  <c r="B21" i="9" s="1"/>
  <c r="AQ27" i="8"/>
  <c r="AP27" i="8"/>
  <c r="AO27" i="8"/>
  <c r="AN27" i="8"/>
  <c r="AM27" i="8"/>
  <c r="AL27" i="8"/>
  <c r="AK27" i="8"/>
  <c r="AJ27" i="8"/>
  <c r="AI27" i="8"/>
  <c r="AH27" i="8"/>
  <c r="AG27" i="8"/>
  <c r="AF27" i="8"/>
  <c r="AE27" i="8"/>
  <c r="AD27" i="8"/>
  <c r="AC27" i="8"/>
  <c r="AB27" i="8"/>
  <c r="AA27" i="8"/>
  <c r="Z27" i="8"/>
  <c r="Y27" i="8"/>
  <c r="X27" i="8"/>
  <c r="W27" i="8"/>
  <c r="V27" i="8"/>
  <c r="U27" i="8"/>
  <c r="T27" i="8"/>
  <c r="S27" i="8"/>
  <c r="R27" i="8"/>
  <c r="Q27" i="8"/>
  <c r="P27" i="8"/>
  <c r="O27" i="8"/>
  <c r="N27" i="8"/>
  <c r="M27" i="8"/>
  <c r="L27" i="8"/>
  <c r="K27" i="8"/>
  <c r="J27" i="8"/>
  <c r="I27" i="8"/>
  <c r="H27" i="8"/>
  <c r="B27" i="8"/>
  <c r="B20" i="9" s="1"/>
  <c r="AQ26" i="8"/>
  <c r="AP26" i="8"/>
  <c r="AO26" i="8"/>
  <c r="AN26" i="8"/>
  <c r="AM26" i="8"/>
  <c r="AL26" i="8"/>
  <c r="AK26" i="8"/>
  <c r="AJ26" i="8"/>
  <c r="AI26" i="8"/>
  <c r="AH26" i="8"/>
  <c r="AG26" i="8"/>
  <c r="AF26" i="8"/>
  <c r="AE26" i="8"/>
  <c r="AD26" i="8"/>
  <c r="AC26" i="8"/>
  <c r="AB26" i="8"/>
  <c r="AA26" i="8"/>
  <c r="Z26" i="8"/>
  <c r="Y26" i="8"/>
  <c r="X26" i="8"/>
  <c r="W26" i="8"/>
  <c r="V26" i="8"/>
  <c r="U26" i="8"/>
  <c r="T26" i="8"/>
  <c r="S26" i="8"/>
  <c r="R26" i="8"/>
  <c r="Q26" i="8"/>
  <c r="P26" i="8"/>
  <c r="O26" i="8"/>
  <c r="N26" i="8"/>
  <c r="M26" i="8"/>
  <c r="L26" i="8"/>
  <c r="K26" i="8"/>
  <c r="J26" i="8"/>
  <c r="I26" i="8"/>
  <c r="C26" i="8" s="1"/>
  <c r="H26" i="8"/>
  <c r="B26" i="8"/>
  <c r="B19" i="9" s="1"/>
  <c r="AQ25" i="8"/>
  <c r="AP25" i="8"/>
  <c r="AO25" i="8"/>
  <c r="AN25" i="8"/>
  <c r="AM25" i="8"/>
  <c r="AL25" i="8"/>
  <c r="AK25" i="8"/>
  <c r="AJ25" i="8"/>
  <c r="AI25" i="8"/>
  <c r="AH25" i="8"/>
  <c r="AG25" i="8"/>
  <c r="AF25" i="8"/>
  <c r="AE25" i="8"/>
  <c r="AD25" i="8"/>
  <c r="AC25" i="8"/>
  <c r="AB25" i="8"/>
  <c r="AA25" i="8"/>
  <c r="Z25" i="8"/>
  <c r="Y25" i="8"/>
  <c r="X25" i="8"/>
  <c r="W25" i="8"/>
  <c r="V25" i="8"/>
  <c r="U25" i="8"/>
  <c r="T25" i="8"/>
  <c r="S25" i="8"/>
  <c r="R25" i="8"/>
  <c r="Q25" i="8"/>
  <c r="P25" i="8"/>
  <c r="O25" i="8"/>
  <c r="N25" i="8"/>
  <c r="M25" i="8"/>
  <c r="L25" i="8"/>
  <c r="K25" i="8"/>
  <c r="J25" i="8"/>
  <c r="I25" i="8"/>
  <c r="H25" i="8"/>
  <c r="B25" i="8"/>
  <c r="AQ24" i="8"/>
  <c r="AP24" i="8"/>
  <c r="AO24" i="8"/>
  <c r="AN24" i="8"/>
  <c r="AM24" i="8"/>
  <c r="AL24" i="8"/>
  <c r="AK24" i="8"/>
  <c r="AJ24" i="8"/>
  <c r="AI24" i="8"/>
  <c r="AH24" i="8"/>
  <c r="AG24" i="8"/>
  <c r="AF24" i="8"/>
  <c r="AE24" i="8"/>
  <c r="AD24" i="8"/>
  <c r="AC24" i="8"/>
  <c r="AB24" i="8"/>
  <c r="AA24" i="8"/>
  <c r="Z24" i="8"/>
  <c r="Y24" i="8"/>
  <c r="X24" i="8"/>
  <c r="W24" i="8"/>
  <c r="V24" i="8"/>
  <c r="U24" i="8"/>
  <c r="T24" i="8"/>
  <c r="S24" i="8"/>
  <c r="R24" i="8"/>
  <c r="Q24" i="8"/>
  <c r="P24" i="8"/>
  <c r="O24" i="8"/>
  <c r="N24" i="8"/>
  <c r="M24" i="8"/>
  <c r="L24" i="8"/>
  <c r="K24" i="8"/>
  <c r="J24" i="8"/>
  <c r="I24" i="8"/>
  <c r="H24" i="8"/>
  <c r="B24" i="8"/>
  <c r="B17" i="9" s="1"/>
  <c r="AQ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B23" i="8"/>
  <c r="B16" i="9" s="1"/>
  <c r="AQ20" i="8"/>
  <c r="AP20" i="8"/>
  <c r="AO20" i="8"/>
  <c r="AN20" i="8"/>
  <c r="AM20" i="8"/>
  <c r="AL20" i="8"/>
  <c r="AK20" i="8"/>
  <c r="AJ20" i="8"/>
  <c r="AI20" i="8"/>
  <c r="AH20" i="8"/>
  <c r="AG20" i="8"/>
  <c r="AF20" i="8"/>
  <c r="AE20" i="8"/>
  <c r="AD20" i="8"/>
  <c r="AC20" i="8"/>
  <c r="AB20" i="8"/>
  <c r="AA20" i="8"/>
  <c r="Z20" i="8"/>
  <c r="Y20" i="8"/>
  <c r="X20" i="8"/>
  <c r="W20" i="8"/>
  <c r="V20" i="8"/>
  <c r="U20" i="8"/>
  <c r="T20" i="8"/>
  <c r="S20" i="8"/>
  <c r="R20" i="8"/>
  <c r="Q20" i="8"/>
  <c r="P20" i="8"/>
  <c r="O20" i="8"/>
  <c r="N20" i="8"/>
  <c r="M20" i="8"/>
  <c r="L20" i="8"/>
  <c r="K20" i="8"/>
  <c r="J20" i="8"/>
  <c r="I20" i="8"/>
  <c r="H20" i="8"/>
  <c r="G19" i="8"/>
  <c r="B19" i="8" s="1"/>
  <c r="E19" i="8"/>
  <c r="E12" i="9" s="1"/>
  <c r="D19" i="8"/>
  <c r="D12" i="9" s="1"/>
  <c r="C19" i="8"/>
  <c r="C12" i="9" s="1"/>
  <c r="G18" i="8"/>
  <c r="E18" i="8"/>
  <c r="E11" i="9" s="1"/>
  <c r="D18" i="8"/>
  <c r="D11" i="9" s="1"/>
  <c r="C18" i="8"/>
  <c r="C11" i="9" s="1"/>
  <c r="B18" i="8"/>
  <c r="B11" i="9" s="1"/>
  <c r="G17" i="8"/>
  <c r="E17" i="8"/>
  <c r="E10" i="9" s="1"/>
  <c r="D17" i="8"/>
  <c r="D10" i="9" s="1"/>
  <c r="C17" i="8"/>
  <c r="C10" i="9" s="1"/>
  <c r="B17" i="8"/>
  <c r="B10" i="9" s="1"/>
  <c r="G16" i="8"/>
  <c r="B16" i="8" s="1"/>
  <c r="B9" i="5" s="1"/>
  <c r="E16" i="8"/>
  <c r="E9" i="9" s="1"/>
  <c r="D16" i="8"/>
  <c r="D9" i="9" s="1"/>
  <c r="C16" i="8"/>
  <c r="C9" i="9" s="1"/>
  <c r="G15" i="8"/>
  <c r="E15" i="8"/>
  <c r="E8" i="9" s="1"/>
  <c r="D15" i="8"/>
  <c r="D8" i="9" s="1"/>
  <c r="C15" i="8"/>
  <c r="C8" i="9" s="1"/>
  <c r="B15" i="8"/>
  <c r="B8" i="9" s="1"/>
  <c r="G14" i="8"/>
  <c r="E14" i="8"/>
  <c r="E7" i="9" s="1"/>
  <c r="D14" i="8"/>
  <c r="D7" i="9" s="1"/>
  <c r="C14" i="8"/>
  <c r="C7" i="9" s="1"/>
  <c r="B14" i="8"/>
  <c r="B7" i="9" s="1"/>
  <c r="G13" i="8"/>
  <c r="E13" i="8"/>
  <c r="E6" i="9" s="1"/>
  <c r="D13" i="8"/>
  <c r="D6" i="9" s="1"/>
  <c r="C13" i="8"/>
  <c r="C6" i="9" s="1"/>
  <c r="G10" i="8"/>
  <c r="H10" i="8" s="1"/>
  <c r="G9" i="8"/>
  <c r="H8" i="8"/>
  <c r="H7" i="8"/>
  <c r="D28" i="7"/>
  <c r="C28" i="7"/>
  <c r="C13" i="7"/>
  <c r="C26" i="7" s="1"/>
  <c r="B13" i="7"/>
  <c r="B26" i="7" s="1"/>
  <c r="E45" i="6"/>
  <c r="D45" i="6"/>
  <c r="E30" i="6"/>
  <c r="D30" i="6"/>
  <c r="E15" i="6"/>
  <c r="D15" i="6"/>
  <c r="B56" i="5"/>
  <c r="B55" i="5"/>
  <c r="B54" i="5"/>
  <c r="B53" i="5"/>
  <c r="A44" i="5"/>
  <c r="A43" i="5"/>
  <c r="B42" i="5"/>
  <c r="A42" i="5"/>
  <c r="A41" i="5"/>
  <c r="A37" i="5"/>
  <c r="A36" i="5"/>
  <c r="B35" i="5"/>
  <c r="A35" i="5"/>
  <c r="B31" i="5"/>
  <c r="A31" i="5"/>
  <c r="B30" i="5"/>
  <c r="A30" i="5"/>
  <c r="B29" i="5"/>
  <c r="A29" i="5"/>
  <c r="B28" i="5"/>
  <c r="A28" i="5"/>
  <c r="B27" i="5"/>
  <c r="A27" i="5"/>
  <c r="B26" i="5"/>
  <c r="A26" i="5"/>
  <c r="B25" i="5"/>
  <c r="A25" i="5"/>
  <c r="B24" i="5"/>
  <c r="A24" i="5"/>
  <c r="B23" i="5"/>
  <c r="A23" i="5"/>
  <c r="B22" i="5"/>
  <c r="A22" i="5"/>
  <c r="B21" i="5"/>
  <c r="A21" i="5"/>
  <c r="B20" i="5"/>
  <c r="A20" i="5"/>
  <c r="B19" i="5"/>
  <c r="A19" i="5"/>
  <c r="B18" i="5"/>
  <c r="A18" i="5"/>
  <c r="B17" i="5"/>
  <c r="A17" i="5"/>
  <c r="B16" i="5"/>
  <c r="A16" i="5"/>
  <c r="E12" i="5"/>
  <c r="D12" i="5"/>
  <c r="C12" i="5"/>
  <c r="A12" i="5"/>
  <c r="C11" i="5"/>
  <c r="B11" i="5"/>
  <c r="A11" i="5"/>
  <c r="E10" i="5"/>
  <c r="D10" i="5"/>
  <c r="C10" i="5"/>
  <c r="A10" i="5"/>
  <c r="E9" i="5"/>
  <c r="D9" i="5"/>
  <c r="C9" i="5"/>
  <c r="A9" i="5"/>
  <c r="E8" i="5"/>
  <c r="B8" i="5"/>
  <c r="A8" i="5"/>
  <c r="E7" i="5"/>
  <c r="D7" i="5"/>
  <c r="C7" i="5"/>
  <c r="A7" i="5"/>
  <c r="E6" i="5"/>
  <c r="D6" i="5"/>
  <c r="C6" i="5"/>
  <c r="A6" i="5"/>
  <c r="M36" i="4"/>
  <c r="K36" i="4"/>
  <c r="J36" i="4"/>
  <c r="I36" i="4"/>
  <c r="H36" i="4"/>
  <c r="G36" i="4"/>
  <c r="F36" i="4"/>
  <c r="E36" i="4"/>
  <c r="C36" i="4"/>
  <c r="B36" i="4"/>
  <c r="M35" i="4"/>
  <c r="L35" i="4"/>
  <c r="K35" i="4"/>
  <c r="J35" i="4"/>
  <c r="H35" i="4"/>
  <c r="G35" i="4"/>
  <c r="F35" i="4"/>
  <c r="E35" i="4"/>
  <c r="D35" i="4"/>
  <c r="C35" i="4"/>
  <c r="B35" i="4"/>
  <c r="B29" i="4"/>
  <c r="B28" i="4"/>
  <c r="B27" i="4"/>
  <c r="B26" i="4"/>
  <c r="B25" i="4"/>
  <c r="B24" i="4"/>
  <c r="B15" i="3"/>
  <c r="B11" i="3"/>
  <c r="E11" i="3" s="1"/>
  <c r="B10" i="3"/>
  <c r="E10" i="3" s="1"/>
  <c r="F9" i="3"/>
  <c r="B9" i="3"/>
  <c r="G9" i="3" s="1"/>
  <c r="G12" i="3" s="1"/>
  <c r="B8" i="3"/>
  <c r="F8" i="3" s="1"/>
  <c r="E7" i="3"/>
  <c r="B7" i="3"/>
  <c r="B6" i="3"/>
  <c r="E6" i="3" s="1"/>
  <c r="E5" i="3"/>
  <c r="B5" i="3"/>
  <c r="B12" i="3" s="1"/>
  <c r="B17" i="3" s="1"/>
  <c r="B12" i="9" l="1"/>
  <c r="B12" i="5"/>
  <c r="B37" i="9"/>
  <c r="B37" i="5"/>
  <c r="D30" i="9"/>
  <c r="D30" i="5"/>
  <c r="E44" i="9"/>
  <c r="B39" i="6"/>
  <c r="E44" i="5"/>
  <c r="C37" i="8"/>
  <c r="E37" i="8"/>
  <c r="G77" i="8"/>
  <c r="B77" i="8" s="1"/>
  <c r="C82" i="8"/>
  <c r="B17" i="4" s="1"/>
  <c r="E82" i="8"/>
  <c r="D17" i="4" s="1"/>
  <c r="B28" i="7"/>
  <c r="E28" i="7" s="1"/>
  <c r="F14" i="8"/>
  <c r="D35" i="8"/>
  <c r="D28" i="9" s="1"/>
  <c r="E49" i="8"/>
  <c r="D82" i="8"/>
  <c r="C17" i="4" s="1"/>
  <c r="F12" i="3"/>
  <c r="AK77" i="8"/>
  <c r="N35" i="4"/>
  <c r="D25" i="5"/>
  <c r="C56" i="5"/>
  <c r="C29" i="8"/>
  <c r="D31" i="8"/>
  <c r="D24" i="9" s="1"/>
  <c r="C36" i="8"/>
  <c r="E36" i="8"/>
  <c r="C61" i="8"/>
  <c r="D61" i="8"/>
  <c r="E61" i="8"/>
  <c r="E72" i="8"/>
  <c r="D75" i="8"/>
  <c r="D27" i="8"/>
  <c r="D20" i="9" s="1"/>
  <c r="D51" i="8"/>
  <c r="D60" i="8"/>
  <c r="C72" i="8"/>
  <c r="D72" i="8"/>
  <c r="N36" i="4"/>
  <c r="C8" i="5"/>
  <c r="D11" i="5"/>
  <c r="F18" i="8"/>
  <c r="D26" i="8"/>
  <c r="D44" i="8"/>
  <c r="C60" i="8"/>
  <c r="B7" i="5"/>
  <c r="D8" i="5"/>
  <c r="B10" i="5"/>
  <c r="E11" i="5"/>
  <c r="C30" i="8"/>
  <c r="E30" i="8"/>
  <c r="C34" i="8"/>
  <c r="E34" i="8"/>
  <c r="E60" i="8"/>
  <c r="C74" i="8"/>
  <c r="E74" i="8"/>
  <c r="D76" i="8"/>
  <c r="D20" i="5"/>
  <c r="D24" i="5"/>
  <c r="D28" i="5"/>
  <c r="I10" i="8"/>
  <c r="J10" i="8" s="1"/>
  <c r="K10" i="8" s="1"/>
  <c r="L10" i="8" s="1"/>
  <c r="M10" i="8" s="1"/>
  <c r="N10" i="8" s="1"/>
  <c r="O10" i="8" s="1"/>
  <c r="P10" i="8" s="1"/>
  <c r="Q10" i="8" s="1"/>
  <c r="R10" i="8" s="1"/>
  <c r="S10" i="8" s="1"/>
  <c r="T10" i="8" s="1"/>
  <c r="C20" i="8"/>
  <c r="E20" i="8"/>
  <c r="C21" i="9"/>
  <c r="C21" i="5"/>
  <c r="B16" i="3"/>
  <c r="B18" i="3" s="1"/>
  <c r="B5" i="1"/>
  <c r="AK80" i="8"/>
  <c r="AC80" i="8"/>
  <c r="U80" i="8"/>
  <c r="M80" i="8"/>
  <c r="AJ80" i="8"/>
  <c r="AB80" i="8"/>
  <c r="T80" i="8"/>
  <c r="L80" i="8"/>
  <c r="AJ70" i="8"/>
  <c r="AB70" i="8"/>
  <c r="T70" i="8"/>
  <c r="L70" i="8"/>
  <c r="AQ80" i="8"/>
  <c r="AI80" i="8"/>
  <c r="AA80" i="8"/>
  <c r="S80" i="8"/>
  <c r="K80" i="8"/>
  <c r="AQ70" i="8"/>
  <c r="AI70" i="8"/>
  <c r="AA70" i="8"/>
  <c r="S70" i="8"/>
  <c r="K70" i="8"/>
  <c r="AP80" i="8"/>
  <c r="AH80" i="8"/>
  <c r="Z80" i="8"/>
  <c r="R80" i="8"/>
  <c r="J80" i="8"/>
  <c r="AO80" i="8"/>
  <c r="AG80" i="8"/>
  <c r="Y80" i="8"/>
  <c r="Q80" i="8"/>
  <c r="I80" i="8"/>
  <c r="AO70" i="8"/>
  <c r="X80" i="8"/>
  <c r="AP70" i="8"/>
  <c r="AE70" i="8"/>
  <c r="U70" i="8"/>
  <c r="I70" i="8"/>
  <c r="AO58" i="8"/>
  <c r="AG58" i="8"/>
  <c r="Y58" i="8"/>
  <c r="Q58" i="8"/>
  <c r="I58" i="8"/>
  <c r="AK50" i="8"/>
  <c r="AC50" i="8"/>
  <c r="U50" i="8"/>
  <c r="M50" i="8"/>
  <c r="AO48" i="8"/>
  <c r="AG48" i="8"/>
  <c r="Y48" i="8"/>
  <c r="Q48" i="8"/>
  <c r="W80" i="8"/>
  <c r="AN70" i="8"/>
  <c r="AD70" i="8"/>
  <c r="R70" i="8"/>
  <c r="H70" i="8"/>
  <c r="AN58" i="8"/>
  <c r="AN80" i="8"/>
  <c r="V80" i="8"/>
  <c r="AM70" i="8"/>
  <c r="AC70" i="8"/>
  <c r="Q70" i="8"/>
  <c r="G70" i="8"/>
  <c r="AM58" i="8"/>
  <c r="AE58" i="8"/>
  <c r="W58" i="8"/>
  <c r="O58" i="8"/>
  <c r="AQ50" i="8"/>
  <c r="AI50" i="8"/>
  <c r="AA50" i="8"/>
  <c r="S50" i="8"/>
  <c r="K50" i="8"/>
  <c r="AM48" i="8"/>
  <c r="AE48" i="8"/>
  <c r="W48" i="8"/>
  <c r="O48" i="8"/>
  <c r="G48" i="8"/>
  <c r="AK43" i="8"/>
  <c r="AM80" i="8"/>
  <c r="P80" i="8"/>
  <c r="AL70" i="8"/>
  <c r="Z70" i="8"/>
  <c r="P70" i="8"/>
  <c r="AL58" i="8"/>
  <c r="AD58" i="8"/>
  <c r="V58" i="8"/>
  <c r="N58" i="8"/>
  <c r="AP50" i="8"/>
  <c r="AH50" i="8"/>
  <c r="Z50" i="8"/>
  <c r="R50" i="8"/>
  <c r="J50" i="8"/>
  <c r="AL48" i="8"/>
  <c r="AD48" i="8"/>
  <c r="V48" i="8"/>
  <c r="N48" i="8"/>
  <c r="AL80" i="8"/>
  <c r="O80" i="8"/>
  <c r="AK70" i="8"/>
  <c r="Y70" i="8"/>
  <c r="O70" i="8"/>
  <c r="AK58" i="8"/>
  <c r="AC58" i="8"/>
  <c r="U58" i="8"/>
  <c r="M58" i="8"/>
  <c r="AO50" i="8"/>
  <c r="AG50" i="8"/>
  <c r="Y50" i="8"/>
  <c r="Q50" i="8"/>
  <c r="I50" i="8"/>
  <c r="AK48" i="8"/>
  <c r="AK52" i="8" s="1"/>
  <c r="AC48" i="8"/>
  <c r="AC52" i="8" s="1"/>
  <c r="U48" i="8"/>
  <c r="U52" i="8" s="1"/>
  <c r="M48" i="8"/>
  <c r="M52" i="8" s="1"/>
  <c r="AF80" i="8"/>
  <c r="N80" i="8"/>
  <c r="AH70" i="8"/>
  <c r="X70" i="8"/>
  <c r="N70" i="8"/>
  <c r="AJ58" i="8"/>
  <c r="AB58" i="8"/>
  <c r="T58" i="8"/>
  <c r="L58" i="8"/>
  <c r="AN50" i="8"/>
  <c r="AF50" i="8"/>
  <c r="X50" i="8"/>
  <c r="P50" i="8"/>
  <c r="H50" i="8"/>
  <c r="AJ48" i="8"/>
  <c r="AJ52" i="8" s="1"/>
  <c r="AB48" i="8"/>
  <c r="T48" i="8"/>
  <c r="AD80" i="8"/>
  <c r="G80" i="8"/>
  <c r="AF70" i="8"/>
  <c r="V70" i="8"/>
  <c r="J70" i="8"/>
  <c r="AP58" i="8"/>
  <c r="AH58" i="8"/>
  <c r="Z58" i="8"/>
  <c r="R58" i="8"/>
  <c r="J58" i="8"/>
  <c r="AL50" i="8"/>
  <c r="AD50" i="8"/>
  <c r="V50" i="8"/>
  <c r="N50" i="8"/>
  <c r="W70" i="8"/>
  <c r="X58" i="8"/>
  <c r="O50" i="8"/>
  <c r="AH48" i="8"/>
  <c r="AH52" i="8" s="1"/>
  <c r="L48" i="8"/>
  <c r="M70" i="8"/>
  <c r="S58" i="8"/>
  <c r="L50" i="8"/>
  <c r="AF48" i="8"/>
  <c r="K48" i="8"/>
  <c r="K52" i="8" s="1"/>
  <c r="AI43" i="8"/>
  <c r="AI45" i="8" s="1"/>
  <c r="AA43" i="8"/>
  <c r="S43" i="8"/>
  <c r="K43" i="8"/>
  <c r="P58" i="8"/>
  <c r="AM50" i="8"/>
  <c r="G50" i="8"/>
  <c r="B50" i="8" s="1"/>
  <c r="AA48" i="8"/>
  <c r="AA52" i="8" s="1"/>
  <c r="J48" i="8"/>
  <c r="J52" i="8" s="1"/>
  <c r="K58" i="8"/>
  <c r="AJ50" i="8"/>
  <c r="Z48" i="8"/>
  <c r="Z52" i="8" s="1"/>
  <c r="I48" i="8"/>
  <c r="I52" i="8" s="1"/>
  <c r="AP43" i="8"/>
  <c r="AP45" i="8" s="1"/>
  <c r="AG43" i="8"/>
  <c r="Y43" i="8"/>
  <c r="Q43" i="8"/>
  <c r="Q45" i="8" s="1"/>
  <c r="I43" i="8"/>
  <c r="AE80" i="8"/>
  <c r="AQ58" i="8"/>
  <c r="H58" i="8"/>
  <c r="AE50" i="8"/>
  <c r="AQ48" i="8"/>
  <c r="AQ52" i="8" s="1"/>
  <c r="X48" i="8"/>
  <c r="X52" i="8" s="1"/>
  <c r="H48" i="8"/>
  <c r="AO43" i="8"/>
  <c r="AF43" i="8"/>
  <c r="X43" i="8"/>
  <c r="P43" i="8"/>
  <c r="P45" i="8" s="1"/>
  <c r="H43" i="8"/>
  <c r="H80" i="8"/>
  <c r="AI58" i="8"/>
  <c r="AB50" i="8"/>
  <c r="AP48" i="8"/>
  <c r="AP52" i="8" s="1"/>
  <c r="S48" i="8"/>
  <c r="S52" i="8" s="1"/>
  <c r="AN43" i="8"/>
  <c r="AE43" i="8"/>
  <c r="AE45" i="8" s="1"/>
  <c r="W43" i="8"/>
  <c r="W45" i="8" s="1"/>
  <c r="O43" i="8"/>
  <c r="O45" i="8" s="1"/>
  <c r="G43" i="8"/>
  <c r="B43" i="8" s="1"/>
  <c r="AF58" i="8"/>
  <c r="W50" i="8"/>
  <c r="AN48" i="8"/>
  <c r="AN52" i="8" s="1"/>
  <c r="R48" i="8"/>
  <c r="R52" i="8" s="1"/>
  <c r="AM43" i="8"/>
  <c r="AM45" i="8" s="1"/>
  <c r="AD43" i="8"/>
  <c r="AD45" i="8" s="1"/>
  <c r="V43" i="8"/>
  <c r="N43" i="8"/>
  <c r="N45" i="8" s="1"/>
  <c r="AG70" i="8"/>
  <c r="AA58" i="8"/>
  <c r="T50" i="8"/>
  <c r="AI48" i="8"/>
  <c r="AI52" i="8" s="1"/>
  <c r="P48" i="8"/>
  <c r="P52" i="8" s="1"/>
  <c r="AL43" i="8"/>
  <c r="AC43" i="8"/>
  <c r="U43" i="8"/>
  <c r="M43" i="8"/>
  <c r="M45" i="8" s="1"/>
  <c r="AJ43" i="8"/>
  <c r="AH43" i="8"/>
  <c r="AH45" i="8" s="1"/>
  <c r="AB43" i="8"/>
  <c r="Z43" i="8"/>
  <c r="Z45" i="8" s="1"/>
  <c r="T43" i="8"/>
  <c r="T45" i="8" s="1"/>
  <c r="R43" i="8"/>
  <c r="R45" i="8" s="1"/>
  <c r="H42" i="8"/>
  <c r="L43" i="8"/>
  <c r="L45" i="8" s="1"/>
  <c r="AQ43" i="8"/>
  <c r="J43" i="8"/>
  <c r="J45" i="8" s="1"/>
  <c r="E21" i="9"/>
  <c r="E21" i="5"/>
  <c r="E29" i="8"/>
  <c r="F29" i="8" s="1"/>
  <c r="D23" i="8"/>
  <c r="C24" i="8"/>
  <c r="E24" i="8"/>
  <c r="C31" i="8"/>
  <c r="B26" i="9"/>
  <c r="C29" i="9"/>
  <c r="C29" i="5"/>
  <c r="E29" i="9"/>
  <c r="E29" i="5"/>
  <c r="C22" i="9"/>
  <c r="C22" i="5"/>
  <c r="D29" i="8"/>
  <c r="E23" i="9"/>
  <c r="E23" i="5"/>
  <c r="D35" i="9"/>
  <c r="D35" i="5"/>
  <c r="D25" i="8"/>
  <c r="C19" i="9"/>
  <c r="C19" i="5"/>
  <c r="E12" i="3"/>
  <c r="G20" i="8"/>
  <c r="B13" i="8"/>
  <c r="E26" i="8"/>
  <c r="F26" i="8" s="1"/>
  <c r="D37" i="9"/>
  <c r="D37" i="5"/>
  <c r="C23" i="9"/>
  <c r="C23" i="5"/>
  <c r="D20" i="8"/>
  <c r="C23" i="8"/>
  <c r="E23" i="8"/>
  <c r="D24" i="8"/>
  <c r="B18" i="9"/>
  <c r="C32" i="8"/>
  <c r="E32" i="8"/>
  <c r="C27" i="9"/>
  <c r="C27" i="5"/>
  <c r="E27" i="9"/>
  <c r="E27" i="5"/>
  <c r="B9" i="9"/>
  <c r="B29" i="7"/>
  <c r="C25" i="8"/>
  <c r="F25" i="8" s="1"/>
  <c r="E25" i="8"/>
  <c r="AL45" i="8"/>
  <c r="D28" i="8"/>
  <c r="F28" i="8" s="1"/>
  <c r="D34" i="8"/>
  <c r="B32" i="5"/>
  <c r="F17" i="8"/>
  <c r="E31" i="8"/>
  <c r="E44" i="8"/>
  <c r="V45" i="8"/>
  <c r="F16" i="8"/>
  <c r="C35" i="8"/>
  <c r="K45" i="8"/>
  <c r="S45" i="8"/>
  <c r="AA45" i="8"/>
  <c r="AQ45" i="8"/>
  <c r="E28" i="5"/>
  <c r="C29" i="7"/>
  <c r="AJ81" i="8"/>
  <c r="AB81" i="8"/>
  <c r="AQ81" i="8"/>
  <c r="AI81" i="8"/>
  <c r="AA81" i="8"/>
  <c r="S81" i="8"/>
  <c r="K81" i="8"/>
  <c r="AQ71" i="8"/>
  <c r="AI71" i="8"/>
  <c r="AP81" i="8"/>
  <c r="AH81" i="8"/>
  <c r="Z81" i="8"/>
  <c r="R81" i="8"/>
  <c r="J81" i="8"/>
  <c r="AP71" i="8"/>
  <c r="AH71" i="8"/>
  <c r="Z71" i="8"/>
  <c r="R71" i="8"/>
  <c r="J71" i="8"/>
  <c r="AO81" i="8"/>
  <c r="AG81" i="8"/>
  <c r="Y81" i="8"/>
  <c r="Q81" i="8"/>
  <c r="I81" i="8"/>
  <c r="AO71" i="8"/>
  <c r="AG71" i="8"/>
  <c r="Y71" i="8"/>
  <c r="Q71" i="8"/>
  <c r="I71" i="8"/>
  <c r="AN81" i="8"/>
  <c r="AF81" i="8"/>
  <c r="X81" i="8"/>
  <c r="P81" i="8"/>
  <c r="H81" i="8"/>
  <c r="AN71" i="8"/>
  <c r="AF71" i="8"/>
  <c r="X71" i="8"/>
  <c r="P71" i="8"/>
  <c r="AM81" i="8"/>
  <c r="AE81" i="8"/>
  <c r="W81" i="8"/>
  <c r="O81" i="8"/>
  <c r="G81" i="8"/>
  <c r="B81" i="8" s="1"/>
  <c r="AM71" i="8"/>
  <c r="AE71" i="8"/>
  <c r="W71" i="8"/>
  <c r="O71" i="8"/>
  <c r="G71" i="8"/>
  <c r="B71" i="8" s="1"/>
  <c r="AC81" i="8"/>
  <c r="AC71" i="8"/>
  <c r="M71" i="8"/>
  <c r="AN59" i="8"/>
  <c r="AF59" i="8"/>
  <c r="X59" i="8"/>
  <c r="P59" i="8"/>
  <c r="J34" i="4" s="1"/>
  <c r="H59" i="8"/>
  <c r="V81" i="8"/>
  <c r="AB71" i="8"/>
  <c r="L71" i="8"/>
  <c r="AM59" i="8"/>
  <c r="AE59" i="8"/>
  <c r="W59" i="8"/>
  <c r="O59" i="8"/>
  <c r="I34" i="4" s="1"/>
  <c r="U81" i="8"/>
  <c r="AA71" i="8"/>
  <c r="K71" i="8"/>
  <c r="AL59" i="8"/>
  <c r="AD59" i="8"/>
  <c r="V59" i="8"/>
  <c r="N59" i="8"/>
  <c r="H34" i="4" s="1"/>
  <c r="T81" i="8"/>
  <c r="V71" i="8"/>
  <c r="H71" i="8"/>
  <c r="AK59" i="8"/>
  <c r="AC59" i="8"/>
  <c r="U59" i="8"/>
  <c r="M59" i="8"/>
  <c r="G34" i="4" s="1"/>
  <c r="H51" i="8"/>
  <c r="C51" i="8" s="1"/>
  <c r="F51" i="8" s="1"/>
  <c r="N81" i="8"/>
  <c r="AL71" i="8"/>
  <c r="U71" i="8"/>
  <c r="AJ59" i="8"/>
  <c r="AB59" i="8"/>
  <c r="T59" i="8"/>
  <c r="L59" i="8"/>
  <c r="F34" i="4" s="1"/>
  <c r="AL81" i="8"/>
  <c r="M81" i="8"/>
  <c r="AK71" i="8"/>
  <c r="T71" i="8"/>
  <c r="AQ59" i="8"/>
  <c r="AI59" i="8"/>
  <c r="AA59" i="8"/>
  <c r="S59" i="8"/>
  <c r="M34" i="4" s="1"/>
  <c r="K59" i="8"/>
  <c r="E34" i="4" s="1"/>
  <c r="AK81" i="8"/>
  <c r="L81" i="8"/>
  <c r="AD81" i="8"/>
  <c r="AD71" i="8"/>
  <c r="N71" i="8"/>
  <c r="AO59" i="8"/>
  <c r="AG59" i="8"/>
  <c r="Y59" i="8"/>
  <c r="Q59" i="8"/>
  <c r="K34" i="4" s="1"/>
  <c r="I59" i="8"/>
  <c r="C34" i="4" s="1"/>
  <c r="Z59" i="8"/>
  <c r="H49" i="8"/>
  <c r="C49" i="8" s="1"/>
  <c r="R59" i="8"/>
  <c r="L34" i="4" s="1"/>
  <c r="J59" i="8"/>
  <c r="D34" i="4" s="1"/>
  <c r="AJ71" i="8"/>
  <c r="H44" i="8"/>
  <c r="C44" i="8" s="1"/>
  <c r="S71" i="8"/>
  <c r="AP59" i="8"/>
  <c r="AH59" i="8"/>
  <c r="F15" i="8"/>
  <c r="F19" i="8"/>
  <c r="C27" i="8"/>
  <c r="AB45" i="8"/>
  <c r="AJ45" i="8"/>
  <c r="H9" i="8"/>
  <c r="E27" i="8"/>
  <c r="D30" i="8"/>
  <c r="F30" i="8" s="1"/>
  <c r="D36" i="8"/>
  <c r="B30" i="9"/>
  <c r="F37" i="8"/>
  <c r="U45" i="8"/>
  <c r="AC45" i="8"/>
  <c r="AK45" i="8"/>
  <c r="C53" i="9"/>
  <c r="F61" i="8"/>
  <c r="F53" i="9" s="1"/>
  <c r="X45" i="8"/>
  <c r="AF45" i="8"/>
  <c r="AN45" i="8"/>
  <c r="I45" i="8"/>
  <c r="Y45" i="8"/>
  <c r="AG45" i="8"/>
  <c r="AO45" i="8"/>
  <c r="B50" i="9"/>
  <c r="D49" i="8"/>
  <c r="D29" i="7"/>
  <c r="F24" i="8"/>
  <c r="F32" i="8"/>
  <c r="E42" i="8"/>
  <c r="B44" i="9"/>
  <c r="K77" i="8"/>
  <c r="S77" i="8"/>
  <c r="AA77" i="8"/>
  <c r="D77" i="8" s="1"/>
  <c r="AI77" i="8"/>
  <c r="AQ77" i="8"/>
  <c r="C75" i="8"/>
  <c r="L77" i="8"/>
  <c r="D74" i="8"/>
  <c r="F74" i="8" s="1"/>
  <c r="F54" i="5" s="1"/>
  <c r="E75" i="8"/>
  <c r="F72" i="8"/>
  <c r="F53" i="5" s="1"/>
  <c r="F82" i="8"/>
  <c r="C83" i="8"/>
  <c r="B18" i="4" s="1"/>
  <c r="D83" i="8"/>
  <c r="C18" i="4" s="1"/>
  <c r="E83" i="8"/>
  <c r="D18" i="4" s="1"/>
  <c r="F60" i="8"/>
  <c r="F52" i="9" s="1"/>
  <c r="E76" i="8"/>
  <c r="F76" i="8" s="1"/>
  <c r="F56" i="5" s="1"/>
  <c r="C54" i="5" l="1"/>
  <c r="B52" i="6"/>
  <c r="B11" i="7"/>
  <c r="E53" i="9"/>
  <c r="E36" i="6"/>
  <c r="D8" i="4"/>
  <c r="F7" i="9"/>
  <c r="F7" i="5"/>
  <c r="E52" i="9"/>
  <c r="D36" i="6"/>
  <c r="D7" i="4"/>
  <c r="C53" i="6"/>
  <c r="D53" i="5"/>
  <c r="D53" i="9"/>
  <c r="C8" i="4"/>
  <c r="E21" i="6"/>
  <c r="E45" i="8"/>
  <c r="C52" i="9"/>
  <c r="B7" i="4"/>
  <c r="D6" i="6"/>
  <c r="B21" i="1" s="1"/>
  <c r="B53" i="6"/>
  <c r="C53" i="5"/>
  <c r="E6" i="6"/>
  <c r="B22" i="1" s="1"/>
  <c r="B8" i="4"/>
  <c r="E8" i="4" s="1"/>
  <c r="D45" i="8"/>
  <c r="D52" i="9"/>
  <c r="C7" i="4"/>
  <c r="D21" i="6"/>
  <c r="D19" i="9"/>
  <c r="D19" i="5"/>
  <c r="D44" i="9"/>
  <c r="D44" i="5"/>
  <c r="B24" i="6"/>
  <c r="D71" i="8"/>
  <c r="F11" i="9"/>
  <c r="F11" i="5"/>
  <c r="E17" i="4"/>
  <c r="E30" i="9"/>
  <c r="E30" i="5"/>
  <c r="C77" i="8"/>
  <c r="F77" i="8" s="1"/>
  <c r="C18" i="7"/>
  <c r="D56" i="5"/>
  <c r="D55" i="5"/>
  <c r="C17" i="7"/>
  <c r="C11" i="1" s="1"/>
  <c r="E42" i="9"/>
  <c r="E42" i="5"/>
  <c r="B38" i="6"/>
  <c r="C30" i="9"/>
  <c r="C30" i="5"/>
  <c r="E77" i="8"/>
  <c r="E54" i="5"/>
  <c r="D52" i="6"/>
  <c r="D11" i="7"/>
  <c r="E53" i="5"/>
  <c r="D53" i="6"/>
  <c r="F23" i="9"/>
  <c r="F23" i="5"/>
  <c r="F44" i="9"/>
  <c r="F44" i="5"/>
  <c r="F21" i="9"/>
  <c r="F21" i="5"/>
  <c r="D38" i="9"/>
  <c r="C27" i="7"/>
  <c r="D38" i="5"/>
  <c r="F83" i="8"/>
  <c r="F17" i="9"/>
  <c r="F17" i="5"/>
  <c r="E18" i="4"/>
  <c r="D42" i="9"/>
  <c r="D42" i="5"/>
  <c r="B23" i="6"/>
  <c r="F12" i="9"/>
  <c r="F12" i="5"/>
  <c r="F30" i="9"/>
  <c r="F30" i="5"/>
  <c r="F8" i="9"/>
  <c r="F8" i="5"/>
  <c r="C42" i="9"/>
  <c r="F49" i="8"/>
  <c r="C42" i="5"/>
  <c r="B8" i="6"/>
  <c r="C81" i="8"/>
  <c r="B16" i="4" s="1"/>
  <c r="E24" i="9"/>
  <c r="E24" i="5"/>
  <c r="G45" i="8"/>
  <c r="B45" i="8" s="1"/>
  <c r="C25" i="9"/>
  <c r="C25" i="5"/>
  <c r="AG73" i="8"/>
  <c r="AF62" i="8"/>
  <c r="E58" i="8"/>
  <c r="H52" i="8"/>
  <c r="C48" i="8"/>
  <c r="R62" i="8"/>
  <c r="L33" i="4"/>
  <c r="L37" i="4" s="1"/>
  <c r="AD84" i="8"/>
  <c r="N84" i="8"/>
  <c r="Y73" i="8"/>
  <c r="AL62" i="8"/>
  <c r="O52" i="8"/>
  <c r="AM73" i="8"/>
  <c r="W84" i="8"/>
  <c r="AE73" i="8"/>
  <c r="AO84" i="8"/>
  <c r="AA73" i="8"/>
  <c r="L73" i="8"/>
  <c r="M84" i="8"/>
  <c r="F75" i="8"/>
  <c r="F55" i="5" s="1"/>
  <c r="B17" i="7"/>
  <c r="C55" i="5"/>
  <c r="D52" i="5"/>
  <c r="B22" i="6"/>
  <c r="C71" i="8"/>
  <c r="F9" i="9"/>
  <c r="F9" i="5"/>
  <c r="F10" i="9"/>
  <c r="F10" i="5"/>
  <c r="D27" i="9"/>
  <c r="D27" i="5"/>
  <c r="F22" i="9"/>
  <c r="F22" i="5"/>
  <c r="H45" i="8"/>
  <c r="C45" i="8" s="1"/>
  <c r="C42" i="8"/>
  <c r="B36" i="9"/>
  <c r="B36" i="5"/>
  <c r="AI62" i="8"/>
  <c r="X62" i="8"/>
  <c r="Z62" i="8"/>
  <c r="T52" i="8"/>
  <c r="D48" i="8"/>
  <c r="L62" i="8"/>
  <c r="F33" i="4"/>
  <c r="F37" i="4" s="1"/>
  <c r="E80" i="8"/>
  <c r="D15" i="4" s="1"/>
  <c r="AF84" i="8"/>
  <c r="AK73" i="8"/>
  <c r="P73" i="8"/>
  <c r="W52" i="8"/>
  <c r="O62" i="8"/>
  <c r="I33" i="4"/>
  <c r="I37" i="4" s="1"/>
  <c r="V84" i="8"/>
  <c r="Q52" i="8"/>
  <c r="I62" i="8"/>
  <c r="C33" i="4"/>
  <c r="C37" i="4" s="1"/>
  <c r="AP73" i="8"/>
  <c r="J84" i="8"/>
  <c r="AI73" i="8"/>
  <c r="D70" i="8"/>
  <c r="T73" i="8"/>
  <c r="U84" i="8"/>
  <c r="E56" i="5"/>
  <c r="D18" i="7"/>
  <c r="E18" i="7" s="1"/>
  <c r="E55" i="5"/>
  <c r="D17" i="7"/>
  <c r="E35" i="9"/>
  <c r="E35" i="5"/>
  <c r="D29" i="9"/>
  <c r="D29" i="5"/>
  <c r="C20" i="9"/>
  <c r="C20" i="5"/>
  <c r="C59" i="8"/>
  <c r="B34" i="4"/>
  <c r="N34" i="4" s="1"/>
  <c r="B52" i="5"/>
  <c r="D21" i="9"/>
  <c r="D21" i="5"/>
  <c r="F18" i="9"/>
  <c r="F18" i="5"/>
  <c r="D22" i="9"/>
  <c r="D22" i="5"/>
  <c r="C80" i="8"/>
  <c r="B15" i="4" s="1"/>
  <c r="H84" i="8"/>
  <c r="B43" i="9"/>
  <c r="B43" i="5"/>
  <c r="AF52" i="8"/>
  <c r="E48" i="8"/>
  <c r="W73" i="8"/>
  <c r="AH62" i="8"/>
  <c r="AB52" i="8"/>
  <c r="T62" i="8"/>
  <c r="D58" i="8"/>
  <c r="O84" i="8"/>
  <c r="Z73" i="8"/>
  <c r="AE52" i="8"/>
  <c r="W62" i="8"/>
  <c r="AN84" i="8"/>
  <c r="Y52" i="8"/>
  <c r="Q62" i="8"/>
  <c r="K33" i="4"/>
  <c r="K37" i="4" s="1"/>
  <c r="X84" i="8"/>
  <c r="R84" i="8"/>
  <c r="AQ73" i="8"/>
  <c r="AB73" i="8"/>
  <c r="AC84" i="8"/>
  <c r="C13" i="9"/>
  <c r="C13" i="5"/>
  <c r="D81" i="8"/>
  <c r="C16" i="4" s="1"/>
  <c r="E81" i="8"/>
  <c r="D16" i="4" s="1"/>
  <c r="C28" i="9"/>
  <c r="C28" i="5"/>
  <c r="F35" i="8"/>
  <c r="C16" i="9"/>
  <c r="C16" i="5"/>
  <c r="F23" i="8"/>
  <c r="B6" i="9"/>
  <c r="B6" i="5"/>
  <c r="F13" i="8"/>
  <c r="F19" i="9"/>
  <c r="F19" i="5"/>
  <c r="C24" i="9"/>
  <c r="C24" i="5"/>
  <c r="F31" i="8"/>
  <c r="C17" i="9"/>
  <c r="C17" i="5"/>
  <c r="D43" i="8"/>
  <c r="C43" i="8"/>
  <c r="AP62" i="8"/>
  <c r="AB62" i="8"/>
  <c r="M62" i="8"/>
  <c r="G33" i="4"/>
  <c r="G37" i="4" s="1"/>
  <c r="AL84" i="8"/>
  <c r="AL73" i="8"/>
  <c r="AM52" i="8"/>
  <c r="AE62" i="8"/>
  <c r="AN62" i="8"/>
  <c r="AG52" i="8"/>
  <c r="Y62" i="8"/>
  <c r="AO73" i="8"/>
  <c r="Z84" i="8"/>
  <c r="K84" i="8"/>
  <c r="AJ73" i="8"/>
  <c r="AK84" i="8"/>
  <c r="D17" i="9"/>
  <c r="D17" i="5"/>
  <c r="D13" i="9"/>
  <c r="D13" i="5"/>
  <c r="B20" i="8"/>
  <c r="F27" i="8"/>
  <c r="D16" i="9"/>
  <c r="D16" i="5"/>
  <c r="H62" i="8"/>
  <c r="C58" i="8"/>
  <c r="B33" i="4"/>
  <c r="P62" i="8"/>
  <c r="J33" i="4"/>
  <c r="J37" i="4" s="1"/>
  <c r="S62" i="8"/>
  <c r="M33" i="4"/>
  <c r="M37" i="4" s="1"/>
  <c r="J73" i="8"/>
  <c r="C50" i="8"/>
  <c r="AJ62" i="8"/>
  <c r="U62" i="8"/>
  <c r="N52" i="8"/>
  <c r="P84" i="8"/>
  <c r="AM62" i="8"/>
  <c r="C70" i="8"/>
  <c r="H73" i="8"/>
  <c r="AO52" i="8"/>
  <c r="AG62" i="8"/>
  <c r="I84" i="8"/>
  <c r="AH84" i="8"/>
  <c r="S84" i="8"/>
  <c r="L84" i="8"/>
  <c r="U10" i="8"/>
  <c r="V10" i="8" s="1"/>
  <c r="W10" i="8" s="1"/>
  <c r="X10" i="8" s="1"/>
  <c r="Y10" i="8" s="1"/>
  <c r="Z10" i="8" s="1"/>
  <c r="AA10" i="8" s="1"/>
  <c r="AB10" i="8" s="1"/>
  <c r="AC10" i="8" s="1"/>
  <c r="AD10" i="8" s="1"/>
  <c r="AE10" i="8" s="1"/>
  <c r="AF10" i="8" s="1"/>
  <c r="C44" i="9"/>
  <c r="B9" i="6"/>
  <c r="C44" i="5"/>
  <c r="H33" i="8"/>
  <c r="H38" i="8"/>
  <c r="I9" i="8"/>
  <c r="E59" i="8"/>
  <c r="E18" i="9"/>
  <c r="E18" i="5"/>
  <c r="F34" i="8"/>
  <c r="D18" i="9"/>
  <c r="D18" i="5"/>
  <c r="E22" i="9"/>
  <c r="E22" i="5"/>
  <c r="AQ62" i="8"/>
  <c r="M73" i="8"/>
  <c r="V73" i="8"/>
  <c r="N73" i="8"/>
  <c r="AC62" i="8"/>
  <c r="V52" i="8"/>
  <c r="N62" i="8"/>
  <c r="H33" i="4"/>
  <c r="H37" i="4" s="1"/>
  <c r="AM84" i="8"/>
  <c r="G73" i="8"/>
  <c r="B73" i="8" s="1"/>
  <c r="B70" i="8"/>
  <c r="R73" i="8"/>
  <c r="AO62" i="8"/>
  <c r="Q84" i="8"/>
  <c r="AP84" i="8"/>
  <c r="AA84" i="8"/>
  <c r="T84" i="8"/>
  <c r="D80" i="8"/>
  <c r="C15" i="4" s="1"/>
  <c r="B15" i="6"/>
  <c r="D59" i="8"/>
  <c r="E71" i="8"/>
  <c r="E37" i="9"/>
  <c r="E37" i="5"/>
  <c r="C18" i="9"/>
  <c r="C18" i="5"/>
  <c r="E19" i="9"/>
  <c r="E19" i="5"/>
  <c r="E17" i="9"/>
  <c r="E17" i="5"/>
  <c r="D50" i="8"/>
  <c r="E43" i="8"/>
  <c r="AE84" i="8"/>
  <c r="L52" i="8"/>
  <c r="AF73" i="8"/>
  <c r="E70" i="8"/>
  <c r="X73" i="8"/>
  <c r="AK62" i="8"/>
  <c r="AD52" i="8"/>
  <c r="V62" i="8"/>
  <c r="Q73" i="8"/>
  <c r="AD73" i="8"/>
  <c r="I73" i="8"/>
  <c r="Y84" i="8"/>
  <c r="K73" i="8"/>
  <c r="AI84" i="8"/>
  <c r="AB84" i="8"/>
  <c r="E13" i="9"/>
  <c r="E13" i="5"/>
  <c r="C11" i="7"/>
  <c r="E11" i="7" s="1"/>
  <c r="C52" i="6"/>
  <c r="D54" i="5"/>
  <c r="F25" i="9"/>
  <c r="F25" i="5"/>
  <c r="E38" i="9"/>
  <c r="D27" i="7"/>
  <c r="E38" i="5"/>
  <c r="D23" i="9"/>
  <c r="D23" i="5"/>
  <c r="E20" i="9"/>
  <c r="E20" i="5"/>
  <c r="C37" i="9"/>
  <c r="F44" i="8"/>
  <c r="C37" i="5"/>
  <c r="B23" i="3"/>
  <c r="E29" i="7"/>
  <c r="E25" i="9"/>
  <c r="E25" i="5"/>
  <c r="E16" i="9"/>
  <c r="E16" i="5"/>
  <c r="F36" i="8"/>
  <c r="AA62" i="8"/>
  <c r="K62" i="8"/>
  <c r="E33" i="4"/>
  <c r="E37" i="4" s="1"/>
  <c r="J62" i="8"/>
  <c r="D33" i="4"/>
  <c r="D37" i="4" s="1"/>
  <c r="B80" i="8"/>
  <c r="G84" i="8"/>
  <c r="B84" i="8" s="1"/>
  <c r="E50" i="8"/>
  <c r="AH73" i="8"/>
  <c r="O73" i="8"/>
  <c r="AL52" i="8"/>
  <c r="AD62" i="8"/>
  <c r="G52" i="8"/>
  <c r="B52" i="8" s="1"/>
  <c r="B48" i="8"/>
  <c r="AC73" i="8"/>
  <c r="AN73" i="8"/>
  <c r="U73" i="8"/>
  <c r="AG84" i="8"/>
  <c r="S73" i="8"/>
  <c r="AQ84" i="8"/>
  <c r="AJ84" i="8"/>
  <c r="F80" i="8" l="1"/>
  <c r="F50" i="8"/>
  <c r="E7" i="4"/>
  <c r="F43" i="9"/>
  <c r="F43" i="5"/>
  <c r="AG10" i="8"/>
  <c r="AH10" i="8" s="1"/>
  <c r="AI10" i="8" s="1"/>
  <c r="AJ10" i="8" s="1"/>
  <c r="AK10" i="8" s="1"/>
  <c r="AL10" i="8" s="1"/>
  <c r="AM10" i="8" s="1"/>
  <c r="AN10" i="8" s="1"/>
  <c r="AO10" i="8" s="1"/>
  <c r="AP10" i="8" s="1"/>
  <c r="AQ10" i="8" s="1"/>
  <c r="C51" i="5"/>
  <c r="C7" i="6"/>
  <c r="E43" i="9"/>
  <c r="E43" i="5"/>
  <c r="C39" i="6"/>
  <c r="F39" i="6" s="1"/>
  <c r="F29" i="9"/>
  <c r="F29" i="5"/>
  <c r="E36" i="9"/>
  <c r="E36" i="5"/>
  <c r="F20" i="9"/>
  <c r="F20" i="5"/>
  <c r="D36" i="9"/>
  <c r="D36" i="5"/>
  <c r="F6" i="9"/>
  <c r="F6" i="5"/>
  <c r="E52" i="8"/>
  <c r="F42" i="9"/>
  <c r="F42" i="5"/>
  <c r="B13" i="9"/>
  <c r="B64" i="9" s="1"/>
  <c r="F20" i="8"/>
  <c r="B13" i="5"/>
  <c r="E84" i="8"/>
  <c r="B37" i="6"/>
  <c r="F37" i="6" s="1"/>
  <c r="E52" i="5"/>
  <c r="H39" i="8"/>
  <c r="G54" i="8"/>
  <c r="D50" i="9"/>
  <c r="C21" i="6"/>
  <c r="C5" i="4"/>
  <c r="D19" i="4"/>
  <c r="B38" i="9"/>
  <c r="B27" i="7"/>
  <c r="E27" i="7" s="1"/>
  <c r="F45" i="8"/>
  <c r="B38" i="5"/>
  <c r="B37" i="4"/>
  <c r="N33" i="4"/>
  <c r="N37" i="4" s="1"/>
  <c r="F43" i="8"/>
  <c r="E17" i="7"/>
  <c r="E11" i="1" s="1"/>
  <c r="B11" i="1"/>
  <c r="C41" i="9"/>
  <c r="C8" i="6"/>
  <c r="F8" i="6" s="1"/>
  <c r="B24" i="3"/>
  <c r="C41" i="5"/>
  <c r="B41" i="9"/>
  <c r="F48" i="8"/>
  <c r="B41" i="5"/>
  <c r="D51" i="9"/>
  <c r="B21" i="6"/>
  <c r="C6" i="4"/>
  <c r="D73" i="8"/>
  <c r="C10" i="7" s="1"/>
  <c r="C37" i="6"/>
  <c r="E51" i="5"/>
  <c r="F70" i="8"/>
  <c r="F51" i="5" s="1"/>
  <c r="B51" i="5"/>
  <c r="C50" i="9"/>
  <c r="C6" i="6"/>
  <c r="B5" i="4"/>
  <c r="F58" i="8"/>
  <c r="F50" i="9" s="1"/>
  <c r="C84" i="8"/>
  <c r="D51" i="5"/>
  <c r="C22" i="6"/>
  <c r="F22" i="6" s="1"/>
  <c r="C52" i="8"/>
  <c r="D43" i="9"/>
  <c r="C24" i="6"/>
  <c r="F24" i="6" s="1"/>
  <c r="D43" i="5"/>
  <c r="B45" i="9"/>
  <c r="B45" i="5"/>
  <c r="F24" i="9"/>
  <c r="F24" i="5"/>
  <c r="F16" i="9"/>
  <c r="F16" i="5"/>
  <c r="D62" i="8"/>
  <c r="E73" i="8"/>
  <c r="D10" i="7" s="1"/>
  <c r="C19" i="4"/>
  <c r="F73" i="8"/>
  <c r="C43" i="9"/>
  <c r="C43" i="5"/>
  <c r="B25" i="3"/>
  <c r="C9" i="6"/>
  <c r="F9" i="6" s="1"/>
  <c r="C62" i="8"/>
  <c r="B19" i="4"/>
  <c r="E15" i="4"/>
  <c r="F71" i="8"/>
  <c r="F52" i="5" s="1"/>
  <c r="D41" i="9"/>
  <c r="C23" i="6"/>
  <c r="F23" i="6" s="1"/>
  <c r="D41" i="5"/>
  <c r="C35" i="9"/>
  <c r="F42" i="8"/>
  <c r="C35" i="5"/>
  <c r="B21" i="3"/>
  <c r="E50" i="9"/>
  <c r="C36" i="6"/>
  <c r="D5" i="4"/>
  <c r="E16" i="4"/>
  <c r="F37" i="9"/>
  <c r="F37" i="5"/>
  <c r="F27" i="9"/>
  <c r="F27" i="5"/>
  <c r="F81" i="8"/>
  <c r="D84" i="8"/>
  <c r="F84" i="8" s="1"/>
  <c r="E51" i="9"/>
  <c r="D6" i="4"/>
  <c r="B36" i="6"/>
  <c r="B30" i="6"/>
  <c r="C73" i="8"/>
  <c r="B10" i="7" s="1"/>
  <c r="F28" i="9"/>
  <c r="F28" i="5"/>
  <c r="D11" i="1"/>
  <c r="D52" i="8"/>
  <c r="C38" i="9"/>
  <c r="C38" i="5"/>
  <c r="E62" i="8"/>
  <c r="I38" i="8"/>
  <c r="J9" i="8"/>
  <c r="I33" i="8"/>
  <c r="I39" i="8" s="1"/>
  <c r="I54" i="8" s="1"/>
  <c r="I65" i="8" s="1"/>
  <c r="C36" i="9"/>
  <c r="C36" i="5"/>
  <c r="B22" i="3"/>
  <c r="E41" i="9"/>
  <c r="E41" i="5"/>
  <c r="C38" i="6"/>
  <c r="F38" i="6" s="1"/>
  <c r="C51" i="9"/>
  <c r="F59" i="8"/>
  <c r="F51" i="9" s="1"/>
  <c r="B6" i="6"/>
  <c r="B6" i="4"/>
  <c r="B7" i="6"/>
  <c r="F7" i="6" s="1"/>
  <c r="C52" i="5"/>
  <c r="D9" i="4" l="1"/>
  <c r="C9" i="1"/>
  <c r="C25" i="7"/>
  <c r="D45" i="9"/>
  <c r="C8" i="7"/>
  <c r="D45" i="5"/>
  <c r="F38" i="9"/>
  <c r="F38" i="5"/>
  <c r="D25" i="7"/>
  <c r="D9" i="1"/>
  <c r="C45" i="9"/>
  <c r="B67" i="9" s="1"/>
  <c r="C45" i="5"/>
  <c r="B8" i="7"/>
  <c r="E5" i="4"/>
  <c r="E9" i="4" s="1"/>
  <c r="E21" i="4" s="1"/>
  <c r="B9" i="4"/>
  <c r="B20" i="4" s="1"/>
  <c r="F21" i="6"/>
  <c r="B45" i="6"/>
  <c r="G55" i="8"/>
  <c r="B54" i="8"/>
  <c r="G65" i="8"/>
  <c r="D21" i="4"/>
  <c r="D11" i="4"/>
  <c r="D54" i="9"/>
  <c r="C6" i="7"/>
  <c r="F52" i="8"/>
  <c r="J33" i="8"/>
  <c r="J38" i="8"/>
  <c r="K9" i="8"/>
  <c r="B20" i="1"/>
  <c r="B26" i="3"/>
  <c r="F41" i="9"/>
  <c r="F41" i="5"/>
  <c r="D20" i="4"/>
  <c r="F36" i="6"/>
  <c r="C54" i="9"/>
  <c r="B6" i="7"/>
  <c r="F62" i="8"/>
  <c r="F54" i="9" s="1"/>
  <c r="H54" i="8"/>
  <c r="E54" i="9"/>
  <c r="D6" i="7"/>
  <c r="F36" i="9"/>
  <c r="F36" i="5"/>
  <c r="F6" i="6"/>
  <c r="B19" i="1"/>
  <c r="E19" i="4"/>
  <c r="C9" i="4"/>
  <c r="F13" i="9"/>
  <c r="F13" i="5"/>
  <c r="E45" i="9"/>
  <c r="D8" i="7"/>
  <c r="E45" i="5"/>
  <c r="E6" i="4"/>
  <c r="B25" i="7"/>
  <c r="E25" i="7" s="1"/>
  <c r="E10" i="7"/>
  <c r="E9" i="1" s="1"/>
  <c r="B9" i="1"/>
  <c r="F35" i="9"/>
  <c r="F35" i="5"/>
  <c r="E20" i="4" l="1"/>
  <c r="J39" i="8"/>
  <c r="J54" i="8" s="1"/>
  <c r="J65" i="8" s="1"/>
  <c r="C11" i="4"/>
  <c r="D10" i="4"/>
  <c r="C21" i="4"/>
  <c r="D6" i="1"/>
  <c r="B65" i="8"/>
  <c r="G66" i="8"/>
  <c r="B11" i="4"/>
  <c r="B21" i="4"/>
  <c r="C10" i="4"/>
  <c r="H65" i="8"/>
  <c r="K38" i="8"/>
  <c r="L9" i="8"/>
  <c r="K33" i="8"/>
  <c r="K39" i="8" s="1"/>
  <c r="K54" i="8" s="1"/>
  <c r="K65" i="8" s="1"/>
  <c r="H55" i="8"/>
  <c r="I55" i="8" s="1"/>
  <c r="J55" i="8" s="1"/>
  <c r="E8" i="7"/>
  <c r="C20" i="4"/>
  <c r="B23" i="1"/>
  <c r="E6" i="7"/>
  <c r="B6" i="1"/>
  <c r="B47" i="9"/>
  <c r="B47" i="5"/>
  <c r="B48" i="5" s="1"/>
  <c r="F45" i="9"/>
  <c r="F45" i="5"/>
  <c r="C6" i="1"/>
  <c r="L33" i="8" l="1"/>
  <c r="L38" i="8"/>
  <c r="M9" i="8"/>
  <c r="B57" i="9"/>
  <c r="B66" i="8"/>
  <c r="B58" i="9" s="1"/>
  <c r="G67" i="8"/>
  <c r="H66" i="8"/>
  <c r="E6" i="1"/>
  <c r="K55" i="8"/>
  <c r="H67" i="8" l="1"/>
  <c r="I66" i="8"/>
  <c r="M38" i="8"/>
  <c r="N9" i="8"/>
  <c r="M33" i="8"/>
  <c r="L39" i="8"/>
  <c r="M39" i="8" l="1"/>
  <c r="M54" i="8" s="1"/>
  <c r="M65" i="8" s="1"/>
  <c r="N33" i="8"/>
  <c r="N38" i="8"/>
  <c r="O9" i="8"/>
  <c r="I67" i="8"/>
  <c r="J66" i="8"/>
  <c r="L54" i="8"/>
  <c r="K66" i="8" l="1"/>
  <c r="J67" i="8"/>
  <c r="O38" i="8"/>
  <c r="P9" i="8"/>
  <c r="O33" i="8"/>
  <c r="O39" i="8" s="1"/>
  <c r="O54" i="8" s="1"/>
  <c r="O65" i="8" s="1"/>
  <c r="N39" i="8"/>
  <c r="L65" i="8"/>
  <c r="L55" i="8"/>
  <c r="M55" i="8" s="1"/>
  <c r="N54" i="8" l="1"/>
  <c r="N55" i="8"/>
  <c r="O55" i="8" s="1"/>
  <c r="P33" i="8"/>
  <c r="Q9" i="8"/>
  <c r="P38" i="8"/>
  <c r="L66" i="8"/>
  <c r="K67" i="8"/>
  <c r="P39" i="8" l="1"/>
  <c r="P54" i="8" s="1"/>
  <c r="P65" i="8" s="1"/>
  <c r="M66" i="8"/>
  <c r="L67" i="8"/>
  <c r="Q38" i="8"/>
  <c r="R9" i="8"/>
  <c r="Q33" i="8"/>
  <c r="Q39" i="8" s="1"/>
  <c r="Q54" i="8" s="1"/>
  <c r="Q65" i="8" s="1"/>
  <c r="P55" i="8"/>
  <c r="N65" i="8"/>
  <c r="Q55" i="8" l="1"/>
  <c r="R33" i="8"/>
  <c r="S9" i="8"/>
  <c r="R38" i="8"/>
  <c r="M67" i="8"/>
  <c r="N66" i="8"/>
  <c r="S38" i="8" l="1"/>
  <c r="C38" i="8" s="1"/>
  <c r="T9" i="8"/>
  <c r="S33" i="8"/>
  <c r="C15" i="6"/>
  <c r="R39" i="8"/>
  <c r="R54" i="8" s="1"/>
  <c r="R65" i="8" s="1"/>
  <c r="N67" i="8"/>
  <c r="O66" i="8"/>
  <c r="S39" i="8" l="1"/>
  <c r="C33" i="8"/>
  <c r="T33" i="8"/>
  <c r="T38" i="8"/>
  <c r="U9" i="8"/>
  <c r="R55" i="8"/>
  <c r="F15" i="6"/>
  <c r="C31" i="9"/>
  <c r="C31" i="5"/>
  <c r="O67" i="8"/>
  <c r="P66" i="8"/>
  <c r="U38" i="8" l="1"/>
  <c r="U33" i="8"/>
  <c r="U39" i="8" s="1"/>
  <c r="U54" i="8" s="1"/>
  <c r="U65" i="8" s="1"/>
  <c r="V9" i="8"/>
  <c r="C26" i="9"/>
  <c r="B69" i="9" s="1"/>
  <c r="E10" i="6"/>
  <c r="E11" i="6" s="1"/>
  <c r="C10" i="6"/>
  <c r="C11" i="6" s="1"/>
  <c r="B10" i="6"/>
  <c r="D10" i="6"/>
  <c r="D11" i="6" s="1"/>
  <c r="C26" i="5"/>
  <c r="P67" i="8"/>
  <c r="Q66" i="8"/>
  <c r="T39" i="8"/>
  <c r="S54" i="8"/>
  <c r="C39" i="8"/>
  <c r="E12" i="6" l="1"/>
  <c r="D22" i="1" s="1"/>
  <c r="C22" i="1"/>
  <c r="E16" i="6"/>
  <c r="S65" i="8"/>
  <c r="C65" i="8" s="1"/>
  <c r="C54" i="8"/>
  <c r="S55" i="8"/>
  <c r="C32" i="9"/>
  <c r="B65" i="9" s="1"/>
  <c r="B66" i="9" s="1"/>
  <c r="B68" i="9" s="1"/>
  <c r="D13" i="6"/>
  <c r="D14" i="6" s="1"/>
  <c r="B7" i="7"/>
  <c r="E13" i="6"/>
  <c r="E14" i="6" s="1"/>
  <c r="B13" i="6"/>
  <c r="C13" i="6"/>
  <c r="C14" i="6" s="1"/>
  <c r="C32" i="5"/>
  <c r="V33" i="8"/>
  <c r="V38" i="8"/>
  <c r="W9" i="8"/>
  <c r="Q67" i="8"/>
  <c r="R66" i="8"/>
  <c r="F10" i="6"/>
  <c r="F11" i="6" s="1"/>
  <c r="B11" i="6"/>
  <c r="D16" i="6"/>
  <c r="C21" i="1"/>
  <c r="D12" i="6"/>
  <c r="D21" i="1" s="1"/>
  <c r="T54" i="8"/>
  <c r="C20" i="1"/>
  <c r="C12" i="6"/>
  <c r="D20" i="1" s="1"/>
  <c r="C16" i="6"/>
  <c r="D17" i="6" l="1"/>
  <c r="E21" i="1"/>
  <c r="B7" i="1"/>
  <c r="B9" i="7"/>
  <c r="T55" i="8"/>
  <c r="U55" i="8" s="1"/>
  <c r="C48" i="5"/>
  <c r="C57" i="9"/>
  <c r="B31" i="7"/>
  <c r="E20" i="1"/>
  <c r="C17" i="6"/>
  <c r="C19" i="1"/>
  <c r="B14" i="6"/>
  <c r="B16" i="6"/>
  <c r="B12" i="6"/>
  <c r="D19" i="1" s="1"/>
  <c r="C23" i="1"/>
  <c r="F12" i="6"/>
  <c r="D23" i="1" s="1"/>
  <c r="F16" i="6"/>
  <c r="S66" i="8"/>
  <c r="R67" i="8"/>
  <c r="F13" i="6"/>
  <c r="F14" i="6" s="1"/>
  <c r="W38" i="8"/>
  <c r="X9" i="8"/>
  <c r="W33" i="8"/>
  <c r="C47" i="9"/>
  <c r="C47" i="5"/>
  <c r="T65" i="8"/>
  <c r="E22" i="1"/>
  <c r="E17" i="6"/>
  <c r="V39" i="8"/>
  <c r="B51" i="6" l="1"/>
  <c r="B54" i="6" s="1"/>
  <c r="E23" i="1"/>
  <c r="F17" i="6"/>
  <c r="B12" i="7"/>
  <c r="B8" i="1"/>
  <c r="B15" i="1" s="1"/>
  <c r="E19" i="1"/>
  <c r="B17" i="6"/>
  <c r="T66" i="8"/>
  <c r="C66" i="8"/>
  <c r="S67" i="8"/>
  <c r="V54" i="8"/>
  <c r="W39" i="8"/>
  <c r="W54" i="8" s="1"/>
  <c r="W65" i="8" s="1"/>
  <c r="X33" i="8"/>
  <c r="X38" i="8"/>
  <c r="Y9" i="8"/>
  <c r="B13" i="1"/>
  <c r="B55" i="6" l="1"/>
  <c r="B14" i="7"/>
  <c r="V65" i="8"/>
  <c r="Y38" i="8"/>
  <c r="Z9" i="8"/>
  <c r="Y33" i="8"/>
  <c r="Y39" i="8" s="1"/>
  <c r="Y54" i="8" s="1"/>
  <c r="Y65" i="8" s="1"/>
  <c r="C58" i="9"/>
  <c r="B33" i="7"/>
  <c r="B14" i="1" s="1"/>
  <c r="V55" i="8"/>
  <c r="W55" i="8" s="1"/>
  <c r="U66" i="8"/>
  <c r="T67" i="8"/>
  <c r="X39" i="8"/>
  <c r="B56" i="6"/>
  <c r="Z33" i="8" l="1"/>
  <c r="Z38" i="8"/>
  <c r="AA9" i="8"/>
  <c r="U67" i="8"/>
  <c r="V66" i="8"/>
  <c r="X54" i="8"/>
  <c r="B24" i="7"/>
  <c r="B19" i="7"/>
  <c r="B10" i="1"/>
  <c r="X65" i="8" l="1"/>
  <c r="AA38" i="8"/>
  <c r="AB9" i="8"/>
  <c r="AA33" i="8"/>
  <c r="AA39" i="8" s="1"/>
  <c r="AA54" i="8" s="1"/>
  <c r="AA65" i="8" s="1"/>
  <c r="B20" i="7"/>
  <c r="B12" i="1"/>
  <c r="B21" i="7"/>
  <c r="V67" i="8"/>
  <c r="W66" i="8"/>
  <c r="B30" i="7"/>
  <c r="X55" i="8"/>
  <c r="Y55" i="8" s="1"/>
  <c r="Z39" i="8"/>
  <c r="AB33" i="8" l="1"/>
  <c r="AB38" i="8"/>
  <c r="AC9" i="8"/>
  <c r="Z54" i="8"/>
  <c r="Z55" i="8"/>
  <c r="AA55" i="8" s="1"/>
  <c r="B32" i="7"/>
  <c r="X66" i="8"/>
  <c r="W67" i="8"/>
  <c r="Z65" i="8" l="1"/>
  <c r="AC38" i="8"/>
  <c r="AC33" i="8"/>
  <c r="AC39" i="8" s="1"/>
  <c r="AC54" i="8" s="1"/>
  <c r="AC65" i="8" s="1"/>
  <c r="AD9" i="8"/>
  <c r="Y66" i="8"/>
  <c r="X67" i="8"/>
  <c r="AB39" i="8"/>
  <c r="AD33" i="8" l="1"/>
  <c r="AD38" i="8"/>
  <c r="AE9" i="8"/>
  <c r="Y67" i="8"/>
  <c r="Z66" i="8"/>
  <c r="AB54" i="8"/>
  <c r="AD39" i="8" l="1"/>
  <c r="AD54" i="8" s="1"/>
  <c r="AD65" i="8" s="1"/>
  <c r="AB65" i="8"/>
  <c r="AB55" i="8"/>
  <c r="AC55" i="8" s="1"/>
  <c r="AD55" i="8" s="1"/>
  <c r="AA66" i="8"/>
  <c r="Z67" i="8"/>
  <c r="AE38" i="8"/>
  <c r="D38" i="8" s="1"/>
  <c r="AF9" i="8"/>
  <c r="AE33" i="8"/>
  <c r="C30" i="6"/>
  <c r="D31" i="9" l="1"/>
  <c r="D31" i="5"/>
  <c r="AF33" i="8"/>
  <c r="AG9" i="8"/>
  <c r="AF38" i="8"/>
  <c r="AB66" i="8"/>
  <c r="AA67" i="8"/>
  <c r="AE39" i="8"/>
  <c r="D33" i="8"/>
  <c r="F30" i="6"/>
  <c r="AB67" i="8" l="1"/>
  <c r="AC66" i="8"/>
  <c r="AG38" i="8"/>
  <c r="AH9" i="8"/>
  <c r="AG33" i="8"/>
  <c r="AG39" i="8" s="1"/>
  <c r="AG54" i="8" s="1"/>
  <c r="AG65" i="8" s="1"/>
  <c r="AF39" i="8"/>
  <c r="D26" i="9"/>
  <c r="E25" i="6"/>
  <c r="E26" i="6" s="1"/>
  <c r="D25" i="6"/>
  <c r="D26" i="6" s="1"/>
  <c r="B25" i="6"/>
  <c r="C25" i="6"/>
  <c r="C26" i="6" s="1"/>
  <c r="D26" i="5"/>
  <c r="AE54" i="8"/>
  <c r="D39" i="8"/>
  <c r="D31" i="6" l="1"/>
  <c r="D27" i="6"/>
  <c r="F25" i="6"/>
  <c r="F26" i="6" s="1"/>
  <c r="B26" i="6"/>
  <c r="C29" i="6"/>
  <c r="C32" i="6" s="1"/>
  <c r="C27" i="6"/>
  <c r="C31" i="6"/>
  <c r="E31" i="6"/>
  <c r="E27" i="6"/>
  <c r="AH33" i="8"/>
  <c r="AH39" i="8" s="1"/>
  <c r="AH54" i="8" s="1"/>
  <c r="AH65" i="8" s="1"/>
  <c r="AH38" i="8"/>
  <c r="AI9" i="8"/>
  <c r="D32" i="9"/>
  <c r="C7" i="7"/>
  <c r="D28" i="6"/>
  <c r="D29" i="6" s="1"/>
  <c r="D32" i="6" s="1"/>
  <c r="C28" i="6"/>
  <c r="D32" i="5"/>
  <c r="E28" i="6"/>
  <c r="E29" i="6" s="1"/>
  <c r="E32" i="6" s="1"/>
  <c r="B28" i="6"/>
  <c r="F28" i="6" s="1"/>
  <c r="AE65" i="8"/>
  <c r="D65" i="8" s="1"/>
  <c r="D54" i="8"/>
  <c r="AE55" i="8"/>
  <c r="AF54" i="8"/>
  <c r="AC67" i="8"/>
  <c r="AD66" i="8"/>
  <c r="D57" i="9" l="1"/>
  <c r="C31" i="7"/>
  <c r="D47" i="9"/>
  <c r="D47" i="5"/>
  <c r="AI38" i="8"/>
  <c r="AJ9" i="8"/>
  <c r="AI33" i="8"/>
  <c r="B29" i="6"/>
  <c r="B32" i="6" s="1"/>
  <c r="B27" i="6"/>
  <c r="B31" i="6"/>
  <c r="C7" i="1"/>
  <c r="C9" i="7"/>
  <c r="AD67" i="8"/>
  <c r="AE66" i="8"/>
  <c r="AF65" i="8"/>
  <c r="D48" i="5"/>
  <c r="F29" i="6"/>
  <c r="F27" i="6"/>
  <c r="F31" i="6"/>
  <c r="AF55" i="8"/>
  <c r="AG55" i="8" s="1"/>
  <c r="AH55" i="8" s="1"/>
  <c r="AJ33" i="8" l="1"/>
  <c r="AJ38" i="8"/>
  <c r="AK9" i="8"/>
  <c r="C12" i="7"/>
  <c r="C8" i="1"/>
  <c r="C15" i="1" s="1"/>
  <c r="C51" i="6"/>
  <c r="C54" i="6" s="1"/>
  <c r="F32" i="6"/>
  <c r="AI39" i="8"/>
  <c r="D66" i="8"/>
  <c r="AE67" i="8"/>
  <c r="AF66" i="8"/>
  <c r="C13" i="1"/>
  <c r="AJ39" i="8" l="1"/>
  <c r="AJ54" i="8" s="1"/>
  <c r="AJ65" i="8" s="1"/>
  <c r="D58" i="9"/>
  <c r="C33" i="7"/>
  <c r="C14" i="1" s="1"/>
  <c r="AI54" i="8"/>
  <c r="C55" i="6"/>
  <c r="C56" i="6" s="1"/>
  <c r="C14" i="7"/>
  <c r="AK38" i="8"/>
  <c r="AK33" i="8"/>
  <c r="AL9" i="8"/>
  <c r="AG66" i="8"/>
  <c r="AF67" i="8"/>
  <c r="AK39" i="8" l="1"/>
  <c r="AH66" i="8"/>
  <c r="AG67" i="8"/>
  <c r="AI65" i="8"/>
  <c r="AI55" i="8"/>
  <c r="AJ55" i="8" s="1"/>
  <c r="C19" i="7"/>
  <c r="C24" i="7"/>
  <c r="C10" i="1"/>
  <c r="AL33" i="8"/>
  <c r="AL38" i="8"/>
  <c r="AM9" i="8"/>
  <c r="C12" i="1" l="1"/>
  <c r="C21" i="7"/>
  <c r="C20" i="7"/>
  <c r="AM38" i="8"/>
  <c r="AN9" i="8"/>
  <c r="AM33" i="8"/>
  <c r="AL39" i="8"/>
  <c r="AL54" i="8" s="1"/>
  <c r="AL65" i="8" s="1"/>
  <c r="AI66" i="8"/>
  <c r="AH67" i="8"/>
  <c r="C30" i="7"/>
  <c r="AK54" i="8"/>
  <c r="AK65" i="8" l="1"/>
  <c r="AM39" i="8"/>
  <c r="AM54" i="8" s="1"/>
  <c r="AM65" i="8" s="1"/>
  <c r="AK55" i="8"/>
  <c r="AL55" i="8" s="1"/>
  <c r="AM55" i="8" s="1"/>
  <c r="C32" i="7"/>
  <c r="AJ66" i="8"/>
  <c r="AI67" i="8"/>
  <c r="AN33" i="8"/>
  <c r="AN39" i="8" s="1"/>
  <c r="AN54" i="8" s="1"/>
  <c r="AN65" i="8" s="1"/>
  <c r="AN38" i="8"/>
  <c r="AO9" i="8"/>
  <c r="AO38" i="8" l="1"/>
  <c r="AP9" i="8"/>
  <c r="AO33" i="8"/>
  <c r="AO39" i="8" s="1"/>
  <c r="AO54" i="8" s="1"/>
  <c r="AO65" i="8" s="1"/>
  <c r="AK66" i="8"/>
  <c r="AJ67" i="8"/>
  <c r="AN55" i="8"/>
  <c r="AO55" i="8" l="1"/>
  <c r="AK67" i="8"/>
  <c r="AL66" i="8"/>
  <c r="AP33" i="8"/>
  <c r="AP38" i="8"/>
  <c r="AQ9" i="8"/>
  <c r="AP39" i="8" l="1"/>
  <c r="AP54" i="8" s="1"/>
  <c r="AP65" i="8" s="1"/>
  <c r="AQ38" i="8"/>
  <c r="E38" i="8" s="1"/>
  <c r="AQ33" i="8"/>
  <c r="C45" i="6"/>
  <c r="AL67" i="8"/>
  <c r="AM66" i="8"/>
  <c r="AP55" i="8"/>
  <c r="AM67" i="8" l="1"/>
  <c r="AN66" i="8"/>
  <c r="F45" i="6"/>
  <c r="AQ39" i="8"/>
  <c r="E33" i="8"/>
  <c r="E31" i="9"/>
  <c r="E31" i="5"/>
  <c r="F38" i="8"/>
  <c r="AQ54" i="8" l="1"/>
  <c r="E39" i="8"/>
  <c r="F31" i="9"/>
  <c r="F31" i="5"/>
  <c r="E26" i="9"/>
  <c r="D40" i="6"/>
  <c r="D41" i="6" s="1"/>
  <c r="C40" i="6"/>
  <c r="C41" i="6" s="1"/>
  <c r="E26" i="5"/>
  <c r="E40" i="6"/>
  <c r="E41" i="6" s="1"/>
  <c r="B40" i="6"/>
  <c r="F33" i="8"/>
  <c r="AN67" i="8"/>
  <c r="AO66" i="8"/>
  <c r="C42" i="6" l="1"/>
  <c r="C46" i="6"/>
  <c r="F26" i="9"/>
  <c r="F26" i="5"/>
  <c r="D46" i="6"/>
  <c r="D42" i="6"/>
  <c r="AO67" i="8"/>
  <c r="AP66" i="8"/>
  <c r="F40" i="6"/>
  <c r="F41" i="6" s="1"/>
  <c r="B41" i="6"/>
  <c r="E32" i="9"/>
  <c r="B43" i="6"/>
  <c r="D7" i="7"/>
  <c r="D43" i="6"/>
  <c r="D44" i="6" s="1"/>
  <c r="D47" i="6" s="1"/>
  <c r="C43" i="6"/>
  <c r="C44" i="6" s="1"/>
  <c r="C47" i="6" s="1"/>
  <c r="E32" i="5"/>
  <c r="E43" i="6"/>
  <c r="F39" i="8"/>
  <c r="E44" i="6"/>
  <c r="E47" i="6" s="1"/>
  <c r="E46" i="6"/>
  <c r="E42" i="6"/>
  <c r="AQ65" i="8"/>
  <c r="E65" i="8" s="1"/>
  <c r="E54" i="8"/>
  <c r="AQ55" i="8"/>
  <c r="B44" i="6" l="1"/>
  <c r="B47" i="6" s="1"/>
  <c r="B42" i="6"/>
  <c r="B46" i="6"/>
  <c r="D7" i="1"/>
  <c r="D9" i="7"/>
  <c r="E7" i="7"/>
  <c r="E7" i="1" s="1"/>
  <c r="F32" i="9"/>
  <c r="F32" i="5"/>
  <c r="F42" i="6"/>
  <c r="F46" i="6"/>
  <c r="AQ66" i="8"/>
  <c r="AP67" i="8"/>
  <c r="E57" i="9"/>
  <c r="D31" i="7"/>
  <c r="F65" i="8"/>
  <c r="F57" i="9" s="1"/>
  <c r="F43" i="6"/>
  <c r="F44" i="6" s="1"/>
  <c r="E47" i="9"/>
  <c r="E47" i="5"/>
  <c r="E48" i="5" s="1"/>
  <c r="F54" i="8"/>
  <c r="D51" i="6" l="1"/>
  <c r="D54" i="6" s="1"/>
  <c r="F47" i="6"/>
  <c r="F47" i="9"/>
  <c r="F47" i="5"/>
  <c r="F48" i="5"/>
  <c r="D12" i="7"/>
  <c r="D8" i="1"/>
  <c r="D15" i="1" s="1"/>
  <c r="E9" i="7"/>
  <c r="E8" i="1" s="1"/>
  <c r="E15" i="1" s="1"/>
  <c r="D13" i="1"/>
  <c r="E31" i="7"/>
  <c r="E13" i="1" s="1"/>
  <c r="E66" i="8"/>
  <c r="AQ67" i="8"/>
  <c r="F66" i="8"/>
  <c r="D13" i="7" l="1"/>
  <c r="D55" i="6"/>
  <c r="D56" i="6" s="1"/>
  <c r="E12" i="7"/>
  <c r="F67" i="8"/>
  <c r="F60" i="9"/>
  <c r="E58" i="9"/>
  <c r="D33" i="7"/>
  <c r="D14" i="1" s="1"/>
  <c r="F58" i="9"/>
  <c r="B34" i="7"/>
  <c r="F59" i="9" l="1"/>
  <c r="B35" i="7"/>
  <c r="D26" i="7"/>
  <c r="E26" i="7" s="1"/>
  <c r="E13" i="7"/>
  <c r="D14" i="7"/>
  <c r="D19" i="7" l="1"/>
  <c r="D24" i="7"/>
  <c r="D10" i="1"/>
  <c r="E14" i="7"/>
  <c r="E10" i="1" s="1"/>
  <c r="D12" i="1" l="1"/>
  <c r="D21" i="7"/>
  <c r="E19" i="7"/>
  <c r="D20" i="7"/>
  <c r="D30" i="7"/>
  <c r="E24" i="7"/>
  <c r="D32" i="7" l="1"/>
  <c r="E32" i="7" s="1"/>
  <c r="E30" i="7"/>
  <c r="E12" i="1"/>
  <c r="E21" i="7"/>
</calcChain>
</file>

<file path=xl/sharedStrings.xml><?xml version="1.0" encoding="utf-8"?>
<sst xmlns="http://schemas.openxmlformats.org/spreadsheetml/2006/main" count="565" uniqueCount="394">
  <si>
    <t>TamCar — Résultat complet : démarrage, recettes, charges, marge, résultat (FCFA)</t>
  </si>
  <si>
    <t>Flotte : 1 tricycle + 5 motos + 9 voitures mises à disposition (6 Essentiel, 3 Confort). Recettes aux planchers de Mayeul. Levée de 15 M. Lancement en janvier 2027 (mois 1).</t>
  </si>
  <si>
    <t>Chiffres clés</t>
  </si>
  <si>
    <t>Année 1</t>
  </si>
  <si>
    <t>Année 2</t>
  </si>
  <si>
    <t>Année 3</t>
  </si>
  <si>
    <t>Total 3 ans</t>
  </si>
  <si>
    <t>Démarrage (mois 0, avant l'année 1)</t>
  </si>
  <si>
    <t>Recettes de TamCar</t>
  </si>
  <si>
    <t>Charges d'exploitation (fonctionnement + mise en circulation)</t>
  </si>
  <si>
    <t>Excédent brut d'exploitation</t>
  </si>
  <si>
    <t>Amortissements et frais de démarrage</t>
  </si>
  <si>
    <t>Résultat net — modèle</t>
  </si>
  <si>
    <t>Gadgets et gestes commerciaux (à confirmer)</t>
  </si>
  <si>
    <t>Résultat net après charges à confirmer</t>
  </si>
  <si>
    <t>Variation de la caisse (démarrage inclus en année 1)</t>
  </si>
  <si>
    <t>Caisse en fin d'année (levée comprise)</t>
  </si>
  <si>
    <t>Marge d'exploitation (excédent brut ÷ recettes)</t>
  </si>
  <si>
    <t>Marge directe par catégorie, année 1</t>
  </si>
  <si>
    <t>Catégorie</t>
  </si>
  <si>
    <t>Recettes</t>
  </si>
  <si>
    <t>Marge directe</t>
  </si>
  <si>
    <t>Taux de marge</t>
  </si>
  <si>
    <t>Résultat par catégorie</t>
  </si>
  <si>
    <t>Motos (5)</t>
  </si>
  <si>
    <t>Tricycle (1)</t>
  </si>
  <si>
    <t>Voitures Essentiel (6)</t>
  </si>
  <si>
    <t>Voitures Confort (3)</t>
  </si>
  <si>
    <t>Total</t>
  </si>
  <si>
    <t>Comment lire ce classeur</t>
  </si>
  <si>
    <t>Résultat (vue économique) : l'achat des véhicules est étalé (moto 12 mois, tricycle 36 mois), les frais de démarrage sont passés en charges et le matériel est amorti sur 36 mois ; la caution du bureau n'est pas une charge. La caisse compte, elle, les décaissements réels : voir « Passage du résultat à la caisse » dans la feuille Résultat (contrôle à 0).</t>
  </si>
  <si>
    <t>Recettes aux planchers : seules les courses jusqu'au plancher de Mayeul sont comptées. Tout volume au-dessus du plancher s'ajoute aux recettes. Le premier mois de lancement compte pour moitié.</t>
  </si>
  <si>
    <t>Charges à confirmer (gadgets des meilleurs, gestes commerciaux) : hypothèses de travail, modifiables dans Hypothèses (lignes 90 à 92). Les mettre à 0 les exclut ; le « résultat net — modèle » ne les contient pas.</t>
  </si>
  <si>
    <t>Non inclus : frais FeexPay (1,7 % payés par le client en plus), frais Mobile Money des retraits chauffeur (à décider), manque éventuel au rachat NSIA, forfait internet des chauffeurs (idée non décidée), charges sociales, entretien (à la charge du conducteur), bonus de performance (neutre aux planchers).</t>
  </si>
  <si>
    <t>Cellules en bleu sur fond jaune (feuille Hypothèses) : à modifier ; tout le reste se recalcule. Les achats de véhicules des mois suivants se saisissent dans la feuille Mensuel, lignes 7 et 8.</t>
  </si>
  <si>
    <t>TamCar — Hypothèses des charges (FCFA)</t>
  </si>
  <si>
    <t>Cellules en BLEU sur fond jaune : à modifier. Tout le reste se recalcule (feuilles Mensuel et Synthèse).</t>
  </si>
  <si>
    <t>Flotte achetée au mois 1 (les achats des mois suivants se saisissent dans la feuille Mensuel, lignes 7 et 8)</t>
  </si>
  <si>
    <t>Tricycles thermiques achetés au mois 1</t>
  </si>
  <si>
    <t>Formule retenue : 1 tricycle + 5 motos</t>
  </si>
  <si>
    <t>Motos électriques achetées au mois 1</t>
  </si>
  <si>
    <t>Achat des véhicules</t>
  </si>
  <si>
    <t>Prix d'un tricycle thermique</t>
  </si>
  <si>
    <t>Prix donné par Terence</t>
  </si>
  <si>
    <t>Acompte à l'achat du tricycle (% du prix)</t>
  </si>
  <si>
    <t>30 % comptant : à négocier avec le fournisseur</t>
  </si>
  <si>
    <t>Durée du solde du tricycle (mois)</t>
  </si>
  <si>
    <t>Solde en 12 mensualités sans intérêt : à négocier, pas encore accordé</t>
  </si>
  <si>
    <t>Prix d'une moto électrique (comptant)</t>
  </si>
  <si>
    <t>Prix comptant donné par Terence (500 000 au catalogue)</t>
  </si>
  <si>
    <t>Mise en circulation (par véhicule)</t>
  </si>
  <si>
    <t>Assurance + droit taxi + visite technique, tricycle (par an)</t>
  </si>
  <si>
    <t>Plafond « tout compris » donné par Terence ; payé à l'achat puis à chaque anniversaire (36 mois)</t>
  </si>
  <si>
    <t>Assurance + droit taxi + visite technique, moto (par an)</t>
  </si>
  <si>
    <t>Hypothèse du plan, à confirmer ; payé à l'achat (moto cédée au conducteur à 12 mois)</t>
  </si>
  <si>
    <t>Tracker GPS tricycle, première année</t>
  </si>
  <si>
    <t>Relevé de Terence du 24/07/2026</t>
  </si>
  <si>
    <t>Tracker GPS tricycle, renouvellement annuel</t>
  </si>
  <si>
    <t>Relevé de Terence ; payé aux mois 13 et 25 tant que TamCar est propriétaire</t>
  </si>
  <si>
    <t>Tracker GPS moto, première année</t>
  </si>
  <si>
    <t>Relevé de Terence ; pas de renouvellement (moto cédée à 12 mois)</t>
  </si>
  <si>
    <t>Démarrage (mois 0)</t>
  </si>
  <si>
    <t>Formalisation de la société</t>
  </si>
  <si>
    <t>Plan d'affaires, charges de démarrage arbitrées avec Terence</t>
  </si>
  <si>
    <t>ANATT (autorisation de transporteur)</t>
  </si>
  <si>
    <t>Juriste (contrats)</t>
  </si>
  <si>
    <t>Bureau de Cotonou (caution, aménagement)</t>
  </si>
  <si>
    <t>Matériel informatique et mobilier (2 bureaux)</t>
  </si>
  <si>
    <t>Marketing de lancement (photo, vidéo, sponsoring)</t>
  </si>
  <si>
    <t>Graphisme</t>
  </si>
  <si>
    <t>Fonctionnement (par mois, sauf indication)</t>
  </si>
  <si>
    <t>Secrétaire</t>
  </si>
  <si>
    <t>Plan d'affaires</t>
  </si>
  <si>
    <t>Infrastructure technique</t>
  </si>
  <si>
    <t>Plan d'affaires ; payée dès le mois 1</t>
  </si>
  <si>
    <t>Développeur</t>
  </si>
  <si>
    <t xml:space="preserve">   … à partir du mois</t>
  </si>
  <si>
    <t>Payé dès le mois 13</t>
  </si>
  <si>
    <t>Outil de développement (Claude Code)</t>
  </si>
  <si>
    <t>Plan d'affaires ; mois 1 à 12, ensuite inclus dans la rémunération du développeur</t>
  </si>
  <si>
    <t>Électricité et eau</t>
  </si>
  <si>
    <t>Loyer du bureau de Cotonou</t>
  </si>
  <si>
    <t>Assurance multirisque professionnelle</t>
  </si>
  <si>
    <t>Comptable (par trimestre, mois 3, 6, 9…)</t>
  </si>
  <si>
    <t>Juriste (par trimestre, mois 3, 6, 9…)</t>
  </si>
  <si>
    <t>Promotion de lancement (par mois)</t>
  </si>
  <si>
    <t xml:space="preserve">   … jusqu'au mois</t>
  </si>
  <si>
    <t>Mois 1 à 6</t>
  </si>
  <si>
    <t>Responsable des opérations : part du volume de courses</t>
  </si>
  <si>
    <t>Plan d'affaires : 3 % du volume de la ville</t>
  </si>
  <si>
    <t>Responsable des opérations : plafond mensuel</t>
  </si>
  <si>
    <t>Volume de courses par tricycle et par jour</t>
  </si>
  <si>
    <t>Plancher : versement 5 000 F = 60 % du volume (8 333) ; sert au calcul du responsable des opérations</t>
  </si>
  <si>
    <t>Volume de courses par moto et par jour</t>
  </si>
  <si>
    <t>Plancher : versement 2 500 F = 60 % du volume (4 167)</t>
  </si>
  <si>
    <t>Jours travaillés par mois</t>
  </si>
  <si>
    <t>Plan d'affaires : dimanche non travaillé</t>
  </si>
  <si>
    <t>Renouvellement de l'autorisation ANATT (mois 13 et 25)</t>
  </si>
  <si>
    <t>Relevé du 24/07/2026 ; décision de Terence : renouvelée chaque année</t>
  </si>
  <si>
    <t>Impôt minimum sur les sociétés (mois 16 et 28)</t>
  </si>
  <si>
    <t>CGI 2026 : 250 000 + 4 000 de redevance ORTB, dû même en perte</t>
  </si>
  <si>
    <t>Patente : droit fixe (mois 13 et 25)</t>
  </si>
  <si>
    <t>CGI 2026 ; exonération des 12 premiers mois</t>
  </si>
  <si>
    <t>Patente : taux sur la valeur locative annuelle du bureau</t>
  </si>
  <si>
    <t>Cotonou : 17 % (loyer × 12)</t>
  </si>
  <si>
    <t>Financement</t>
  </si>
  <si>
    <t>Levée de fonds</t>
  </si>
  <si>
    <t>Plan d'affaires : 15 M</t>
  </si>
  <si>
    <t>Voitures mises à disposition (propriétaire : Afrik Group Consulting). Le VIP n'est pas compté.</t>
  </si>
  <si>
    <t>Voitures Essentiel</t>
  </si>
  <si>
    <t>Terence : 6 Essentiel, 3 Confort, 1 VIP (VIP exclu pour le moment)</t>
  </si>
  <si>
    <t>Voitures Confort</t>
  </si>
  <si>
    <t>Voitures disponibles dès le mois</t>
  </si>
  <si>
    <t>Hypothèse : dès le lancement</t>
  </si>
  <si>
    <t>Plancher de recettes par Essentiel et par jour</t>
  </si>
  <si>
    <t>Plancher de Mayeul (sur l'app et hors app) : le conducteur verse 60 % = 7 200 F</t>
  </si>
  <si>
    <t>Plancher de recettes par Confort et par jour</t>
  </si>
  <si>
    <t>Plancher de Mayeul : le conducteur verse 60 % = 9 000 F</t>
  </si>
  <si>
    <t>Part de TamCar sur le volume, première année</t>
  </si>
  <si>
    <t>20 % plateforme + 3 % gestion du fonds de rachat ; le propriétaire garde 30 %</t>
  </si>
  <si>
    <t>Part de TamCar sur le volume, jusqu'à la cession</t>
  </si>
  <si>
    <t>20 % + 2 %</t>
  </si>
  <si>
    <t>Part de TamCar sur le volume, après la cession</t>
  </si>
  <si>
    <t>Commission de plateforme seule</t>
  </si>
  <si>
    <t>Durée du contrat Essentiel (mois)</t>
  </si>
  <si>
    <t>Terence : 2 ans</t>
  </si>
  <si>
    <t>Durée du contrat Confort (mois)</t>
  </si>
  <si>
    <t>Terence : 3 ans</t>
  </si>
  <si>
    <t>Avance de démarrage du propriétaire, par voiture</t>
  </si>
  <si>
    <t>Remboursée par TamCar 12 mois après l'arrivée (mois 13) ; l'encaissement initial finance les frais d'entrée, comme dans le plan</t>
  </si>
  <si>
    <t>Assurance, trackers, entretien des voitures</t>
  </si>
  <si>
    <t>à la charge du propriétaire</t>
  </si>
  <si>
    <t>Hypothèse du plan, à confirmer par écrit avec M. Ouedraogo</t>
  </si>
  <si>
    <t>Recettes de TamCar sur ses tricycles et ses motos (aux planchers de Mayeul)</t>
  </si>
  <si>
    <t>Part de TamCar sur le volume d'un tricycle, première année</t>
  </si>
  <si>
    <t>30 % propriétaire + 20 % plateforme + 3 % gestion du fonds de rachat (le reste du versement de 60 % est le fonds du conducteur)</t>
  </si>
  <si>
    <t>Part de TamCar sur le volume d'un tricycle, jusqu'à la cession</t>
  </si>
  <si>
    <t>30 % + 20 % + 2 %</t>
  </si>
  <si>
    <t>Part de TamCar sur le volume d'un tricycle, après la cession</t>
  </si>
  <si>
    <t>Durée avant cession du tricycle (mois)</t>
  </si>
  <si>
    <t>Plan d'affaires : 36 mois ; le fonds de rachat est encaissé à la cession, hors des 36 mois affichés</t>
  </si>
  <si>
    <t>Versement minimum par jour, moto</t>
  </si>
  <si>
    <t>Terence : au moins 2 500 F par jour, 26 jours par mois, pendant 12 mois ; plus si l'app rapporte plus</t>
  </si>
  <si>
    <t>Durée avant cession de la moto (mois)</t>
  </si>
  <si>
    <t>Moto cédée au conducteur après 12 mois</t>
  </si>
  <si>
    <t>Commission de TamCar sur l'app après la cession de la moto</t>
  </si>
  <si>
    <t>Commission de plateforme seule sur le volume de la moto</t>
  </si>
  <si>
    <t>Épargne NSIA des conducteurs : coût des postes vacants</t>
  </si>
  <si>
    <t>Cotisation journalière par conducteur</t>
  </si>
  <si>
    <t>TamCar paie NSIA et prélève la même somme chaque jour sur le portefeuille du conducteur : sans effet sur la caisse tant que le poste est occupé</t>
  </si>
  <si>
    <t>Départs de conducteurs par an (% des conducteurs)</t>
  </si>
  <si>
    <t>Hypothèse de travail à confirmer</t>
  </si>
  <si>
    <t>Jours de vacance avant l'arrivée d'un remplaçant</t>
  </si>
  <si>
    <t>Hypothèse de travail à confirmer ; TamCar paie alors la cotisation de sa poche</t>
  </si>
  <si>
    <t>Les charges sont séparées des recettes dans les feuilles Mensuel et Synthèse. Recettes = planchers de Mayeul (rien de plus sur l'app).</t>
  </si>
  <si>
    <t>Résultat comptable et charges à confirmer (ajout du 2026-10-11)</t>
  </si>
  <si>
    <t>Durée d'amortissement du matériel informatique et mobilier (mois)</t>
  </si>
  <si>
    <t>Hypothèse comptable : amorti sur 3 ans à partir du mois 1</t>
  </si>
  <si>
    <t>Taux d'impôt sur les sociétés</t>
  </si>
  <si>
    <t>CGI 2026 : 30 % ; à valider avec le comptable</t>
  </si>
  <si>
    <t>Années d'exonération d'impôt sur les sociétés (régime startup)</t>
  </si>
  <si>
    <t>Art. 147 du CGI : exonération 2 ans ; l'impôt minimum reste dû (déjà dans le fonctionnement)</t>
  </si>
  <si>
    <t>Gadgets des meilleurs : budget par tour de 6 mois</t>
  </si>
  <si>
    <t>À CONFIRMER : décision de principe du 11/10/2026 ; mettre 0 pour exclure</t>
  </si>
  <si>
    <t>Gadgets : premier tour payé au mois</t>
  </si>
  <si>
    <t>1er semestre 2027 clos fin juin, classement validé en juillet (mois 7), puis tous les 6 mois</t>
  </si>
  <si>
    <t>Gestes commerciaux par mois</t>
  </si>
  <si>
    <t>À CONFIRMER : hypothèse de travail (enveloppe de 50 000 à 100 000 F) ; mettre 0 pour exclure</t>
  </si>
  <si>
    <t>TamCar — Démarrage : ce qui est dépensé avant le lancement (mois 0), FCFA</t>
  </si>
  <si>
    <t>Montants repris de la feuille Hypothèses. Le traitement indiqué est celui du résultat (vue économique) ; en caisse, tout est décaissé au mois 0.</t>
  </si>
  <si>
    <t>Poste</t>
  </si>
  <si>
    <t>Montant</t>
  </si>
  <si>
    <t>Nature</t>
  </si>
  <si>
    <t>Traitement dans le résultat</t>
  </si>
  <si>
    <t>Passé en charges</t>
  </si>
  <si>
    <t>Immobilisé</t>
  </si>
  <si>
    <t>Amorti par an</t>
  </si>
  <si>
    <t>Frais juridiques</t>
  </si>
  <si>
    <t>Charge de l'an 1</t>
  </si>
  <si>
    <t>Autorisation administrative</t>
  </si>
  <si>
    <t>Charge de l'an 1 (renouvelée chaque année)</t>
  </si>
  <si>
    <t>Honoraires</t>
  </si>
  <si>
    <t>Dépôt de garantie et aménagement</t>
  </si>
  <si>
    <t>Ni charge ni amortissement (simplification : à préciser avec le comptable)</t>
  </si>
  <si>
    <t>Immobilisation</t>
  </si>
  <si>
    <t>Amorti sur la durée de la feuille Hypothèses (36 mois)</t>
  </si>
  <si>
    <t>Frais de lancement</t>
  </si>
  <si>
    <t>Frais de création</t>
  </si>
  <si>
    <t>TOTAL DU DÉMARRAGE</t>
  </si>
  <si>
    <t>Financement du démarrage</t>
  </si>
  <si>
    <t>Démarrage</t>
  </si>
  <si>
    <t>Part de la levée absorbée par le démarrage</t>
  </si>
  <si>
    <t>Caisse après le démarrage, avant tout achat de véhicule</t>
  </si>
  <si>
    <t>Mise de départ de la flotte (année 1, décaissements réels)</t>
  </si>
  <si>
    <t>Tricycles : acompte à l'achat</t>
  </si>
  <si>
    <t>Tricycles : mensualités du solde payées en année 1</t>
  </si>
  <si>
    <t>Motos : achat comptant</t>
  </si>
  <si>
    <t>Assurance, droit taxi, visite technique (tricycles et motos)</t>
  </si>
  <si>
    <t>Trackers GPS (tricycles et motos)</t>
  </si>
  <si>
    <t>Total flotte, année 1</t>
  </si>
  <si>
    <t>Les voitures (6 Essentiel, 3 Confort) appartiennent à Afrik Group : assurance, trackers et entretien à la charge du propriétaire. TamCar rembourse au mois 13 l'avance de 100 000 F par voiture.</t>
  </si>
  <si>
    <t>TamCar — Recettes de TamCar, FCFA (aux planchers de Mayeul : aucune course au-dessus du plancher n'est comptée)</t>
  </si>
  <si>
    <t>Le premier mois de lancement compte pour moitié. Source : feuille Mensuel.</t>
  </si>
  <si>
    <t>TOTAL DES RECETTES</t>
  </si>
  <si>
    <t>Évolution par rapport à l'année précédente</t>
  </si>
  <si>
    <t>Recette moyenne par mois</t>
  </si>
  <si>
    <t>Volume de courses et part de TamCar</t>
  </si>
  <si>
    <t>Volume de courses dans l'application (au plancher)</t>
  </si>
  <si>
    <t>VOLUME TOTAL</t>
  </si>
  <si>
    <t>Recette de TamCar en % du volume</t>
  </si>
  <si>
    <t>Part des voitures dans les recettes</t>
  </si>
  <si>
    <t>Planchers de recettes retenus (par véhicule et par jour travaillé)</t>
  </si>
  <si>
    <t>Tricycle : volume de courses</t>
  </si>
  <si>
    <t>Moto : volume de courses</t>
  </si>
  <si>
    <t>Moto : versement minimum à TamCar</t>
  </si>
  <si>
    <t>Voiture Essentiel : recettes</t>
  </si>
  <si>
    <t>Voiture Confort : recettes</t>
  </si>
  <si>
    <t>Recettes de l'année 1, mois par mois</t>
  </si>
  <si>
    <t>Mois</t>
  </si>
  <si>
    <t>M1</t>
  </si>
  <si>
    <t>M2</t>
  </si>
  <si>
    <t>M3</t>
  </si>
  <si>
    <t>M4</t>
  </si>
  <si>
    <t>M5</t>
  </si>
  <si>
    <t>M6</t>
  </si>
  <si>
    <t>M7</t>
  </si>
  <si>
    <t>M8</t>
  </si>
  <si>
    <t>M9</t>
  </si>
  <si>
    <t>M10</t>
  </si>
  <si>
    <t>M11</t>
  </si>
  <si>
    <t>M12</t>
  </si>
  <si>
    <t>TOTAL</t>
  </si>
  <si>
    <t>TamCar — Charges, FCFA (décaissements réels, comme dans la caisse)</t>
  </si>
  <si>
    <t>Les amortissements et les charges à confirmer sont en bas : ils servent au résultat, pas à la caisse.</t>
  </si>
  <si>
    <t>DÉMARRAGE (mois 0)</t>
  </si>
  <si>
    <t>Sous-total démarrage</t>
  </si>
  <si>
    <t>FONCTIONNEMENT</t>
  </si>
  <si>
    <t>Sous-total fonctionnement</t>
  </si>
  <si>
    <t>ACHAT DES VÉHICULES</t>
  </si>
  <si>
    <t>Sous-total achat des véhicules</t>
  </si>
  <si>
    <t>MISE EN CIRCULATION (assurance, droit taxi, visite technique, trackers)</t>
  </si>
  <si>
    <t>Sous-total mise en circulation</t>
  </si>
  <si>
    <t>TOTAL DES CHARGES DÉCAISSÉES</t>
  </si>
  <si>
    <t>Contrôle : somme des quatre sous-totaux − total (doit être 0)</t>
  </si>
  <si>
    <t>NON DÉCAISSÉ OU NON CONFIRMÉ (pour le résultat)</t>
  </si>
  <si>
    <t>Amortissement des tricycles</t>
  </si>
  <si>
    <t>Amortissement des motos</t>
  </si>
  <si>
    <t>Amortissement du matériel informatique et mobilier</t>
  </si>
  <si>
    <t>Frais de démarrage passés en charges</t>
  </si>
  <si>
    <t>Gadgets des meilleurs — à confirmer</t>
  </si>
  <si>
    <t>Gestes commerciaux — à confirmer</t>
  </si>
  <si>
    <t>Non inclus : frais FeexPay (1,7 % payés par le client), frais Mobile Money des retraits chauffeur, manque au rachat NSIA, forfait internet des chauffeurs, charges sociales, entretien (conducteur).</t>
  </si>
  <si>
    <t>TamCar — Marge par catégorie de véhicule, FCFA</t>
  </si>
  <si>
    <t>Marge directe = recettes − amortissement du véhicule − assurance/droits/trackers − part du responsable des opérations (3 % du volume, réparti selon le volume). Les autres charges de fonctionnement sont réparties au prorata des recettes.</t>
  </si>
  <si>
    <t>ANNÉE 1</t>
  </si>
  <si>
    <t>Amortissement du véhicule</t>
  </si>
  <si>
    <t>Assurance, droit taxi, visite technique</t>
  </si>
  <si>
    <t>Trackers GPS</t>
  </si>
  <si>
    <t>Responsable des opérations (3 % du volume)</t>
  </si>
  <si>
    <t>MARGE DIRECTE</t>
  </si>
  <si>
    <t>Taux de marge directe (% des recettes)</t>
  </si>
  <si>
    <t>Autres charges de fonctionnement (au prorata des recettes)</t>
  </si>
  <si>
    <t>RÉSULTAT PAR CATÉGORIE (avant démarrage, matériel, gadgets, gestes)</t>
  </si>
  <si>
    <t>Nombre de véhicules (moyenne de l'année)</t>
  </si>
  <si>
    <t>Marge directe par véhicule et par jour travaillé</t>
  </si>
  <si>
    <t>Résultat par véhicule et par jour travaillé</t>
  </si>
  <si>
    <t>ANNÉE 2</t>
  </si>
  <si>
    <t>ANNÉE 3</t>
  </si>
  <si>
    <t>RAPPROCHEMENT AVEC LE COMPTE DE RÉSULTAT</t>
  </si>
  <si>
    <t>Résultat par catégorie (total)</t>
  </si>
  <si>
    <t>Résultat d'exploitation calculé ici</t>
  </si>
  <si>
    <t>Résultat d'exploitation (feuille Résultat)</t>
  </si>
  <si>
    <t>Écart (doit être 0)</t>
  </si>
  <si>
    <t>TamCar — Compte de résultat et passage à la caisse, FCFA</t>
  </si>
  <si>
    <t>Vue économique : l'achat des véhicules est étalé, les frais de démarrage sont passés en charges dans l'année 1. Recettes aux planchers de Mayeul.</t>
  </si>
  <si>
    <t>COMPTE DE RÉSULTAT</t>
  </si>
  <si>
    <t>Recettes de TamCar (courses)</t>
  </si>
  <si>
    <t>Charges de fonctionnement</t>
  </si>
  <si>
    <t>Mise en circulation (assurance, droit taxi, visite technique, trackers)</t>
  </si>
  <si>
    <t>EXCÉDENT BRUT D'EXPLOITATION</t>
  </si>
  <si>
    <t>Amortissements (véhicules et matériel)</t>
  </si>
  <si>
    <t>RÉSULTAT D'EXPLOITATION (modèle)</t>
  </si>
  <si>
    <t>Impôt sur les sociétés (estimation : 30 %, exonéré les premières années, déficits reportés)</t>
  </si>
  <si>
    <t>RÉSULTAT NET — MODÈLE (sans charges à confirmer)</t>
  </si>
  <si>
    <t>CHARGES NON ENCORE CONFIRMÉES (hypothèses modifiables dans Hypothèses, lignes 90 à 92)</t>
  </si>
  <si>
    <t>Gadgets des meilleurs</t>
  </si>
  <si>
    <t>Gestes commerciaux</t>
  </si>
  <si>
    <t>RÉSULTAT NET APRÈS CHARGES À CONFIRMER</t>
  </si>
  <si>
    <t>Résultat net cumulé (après charges à confirmer)</t>
  </si>
  <si>
    <t>Marge nette (résultat net après charges à confirmer ÷ recettes)</t>
  </si>
  <si>
    <t>PASSAGE DU RÉSULTAT À LA CAISSE (modèle, sans charges à confirmer)</t>
  </si>
  <si>
    <t>+ Amortissements (non décaissés)</t>
  </si>
  <si>
    <t>+ Impôt sur les sociétés (non repris dans la caisse du classeur)</t>
  </si>
  <si>
    <t>− Achats de véhicules payés (acompte, mensualités, motos)</t>
  </si>
  <si>
    <t>− Matériel informatique et mobilier acheté (mois 0)</t>
  </si>
  <si>
    <t>− Bureau de Cotonou : caution et aménagement (mois 0)</t>
  </si>
  <si>
    <t>VARIATION DE LA CAISSE (calculée ici)</t>
  </si>
  <si>
    <t>Variation de la caisse (feuille Mensuel)</t>
  </si>
  <si>
    <t>Contrôle : écart (doit être 0)</t>
  </si>
  <si>
    <t>Caisse en fin d'année (levée de 15 M comprise)</t>
  </si>
  <si>
    <t>Plus bas niveau de caisse sur 36 mois</t>
  </si>
  <si>
    <t>Mois de caisse négative</t>
  </si>
  <si>
    <t>Lecture : l'avance de 100 000 F par voiture, remboursée au mois 13 (900 000 F), est traitée comme une charge de l'an 2 ; son encaissement initial n'est pas compté en recette (hypothèse du classeur d'origine).</t>
  </si>
  <si>
    <t>TamCar — Charges, recettes aux planchers et caisse, mois par mois (FCFA), mois 0 à 36</t>
  </si>
  <si>
    <t>Les charges sont les blocs du haut ; les recettes (planchers de Mayeul) et la caisse sont en bas. Achats des mois suivants : saisir les quantités en bleu, lignes 7 et 8. Les assurances, trackers et mensualités suivent automatiquement.</t>
  </si>
  <si>
    <t>Année 1 (mois 1-12)</t>
  </si>
  <si>
    <t>Année 2 (mois 13-24)</t>
  </si>
  <si>
    <t>Année 3 (mois 25-36)</t>
  </si>
  <si>
    <t>FLOTTE (quantités)</t>
  </si>
  <si>
    <t>Tricycles achetés ce mois (saisie)</t>
  </si>
  <si>
    <t>saisie</t>
  </si>
  <si>
    <t>Motos achetées ce mois (saisie)</t>
  </si>
  <si>
    <t>Tricycles en flotte (cumul)</t>
  </si>
  <si>
    <t>Motos en flotte (cumul)</t>
  </si>
  <si>
    <t>Développeur (dès le mois indiqué dans les hypothèses)</t>
  </si>
  <si>
    <t>Outil de développement (Claude Code, mois 1 à 12)</t>
  </si>
  <si>
    <t>Comptable (par trimestre)</t>
  </si>
  <si>
    <t>Juriste (par trimestre)</t>
  </si>
  <si>
    <t>Promotion de lancement</t>
  </si>
  <si>
    <t>Responsable des opérations (3 % du volume, plafonné)</t>
  </si>
  <si>
    <t>Renouvellement ANATT (mois 13 et 25)</t>
  </si>
  <si>
    <t>Patente (mois 13 et 25)</t>
  </si>
  <si>
    <t>Avance remboursée aux propriétaires des voitures (mois 13)</t>
  </si>
  <si>
    <t>Épargne NSIA : postes vacants (TamCar paie la cotisation)</t>
  </si>
  <si>
    <t>Tricycles : mensualités du solde</t>
  </si>
  <si>
    <t>MISE EN CIRCULATION</t>
  </si>
  <si>
    <t>Assurance + droit taxi + visite technique : tricycles (achat, puis anniversaires)</t>
  </si>
  <si>
    <t>Assurance + droit taxi + visite technique : motos (à l'achat)</t>
  </si>
  <si>
    <t>Trackers GPS : tricycles (1re année, puis renouvellement)</t>
  </si>
  <si>
    <t>Trackers GPS : motos (à l'achat)</t>
  </si>
  <si>
    <t>TOTAL DES CHARGES</t>
  </si>
  <si>
    <t>Cumul des charges</t>
  </si>
  <si>
    <t>RECETTES DE TAMCAR (aux planchers de Mayeul)</t>
  </si>
  <si>
    <t>Tricycles : part de TamCar sur le volume</t>
  </si>
  <si>
    <t>Motos : versement minimum, puis commission après cession</t>
  </si>
  <si>
    <t>Voitures Essentiel : part de TamCar sur le volume</t>
  </si>
  <si>
    <t>Voitures Confort : part de TamCar sur le volume</t>
  </si>
  <si>
    <t>CAISSE (levée − charges + recettes)</t>
  </si>
  <si>
    <t>Résultat du mois (recettes − charges)</t>
  </si>
  <si>
    <t>Caisse en fin de mois</t>
  </si>
  <si>
    <t>Caisse négative ce mois-ci ? (1 = oui)</t>
  </si>
  <si>
    <t>mois négatifs :</t>
  </si>
  <si>
    <t>AMORTISSEMENTS ET CHARGES À CONFIRMER (servent au résultat, pas à la caisse)</t>
  </si>
  <si>
    <t>Amortissement des tricycles (prix ÷ durée avant cession)</t>
  </si>
  <si>
    <t>Amortissement des motos (prix ÷ durée avant cession)</t>
  </si>
  <si>
    <t>Total des amortissements</t>
  </si>
  <si>
    <t>Frais de démarrage passés en charges (formalisation, ANATT, juriste, marketing, graphisme)</t>
  </si>
  <si>
    <t>Gadgets des meilleurs (1 tour tous les 6 mois) — à confirmer</t>
  </si>
  <si>
    <t>Total des charges à confirmer</t>
  </si>
  <si>
    <t>VOLUME DE COURSES (sert à répartir le responsable des opérations ; mois de lancement compté pour moitié)</t>
  </si>
  <si>
    <t>Volume des tricycles</t>
  </si>
  <si>
    <t>Volume des motos</t>
  </si>
  <si>
    <t>Volume des voitures Essentiel</t>
  </si>
  <si>
    <t>Volume des voitures Confort</t>
  </si>
  <si>
    <t>Volume total de courses</t>
  </si>
  <si>
    <t>TamCar — Charges, recettes aux planchers et caisse (FCFA)</t>
  </si>
  <si>
    <t>Flotte TamCar : 1 tricycle thermique (30 % + 12 mois) + 5 motos électriques (comptant), plus 9 voitures mises à disposition (6 Essentiel + 3 Confort, VIP non compté). Recettes = planchers de Mayeul. Pour changer quoi que ce soit : feuille Hypothèses (cellules bleues).</t>
  </si>
  <si>
    <t>1. Démarrage</t>
  </si>
  <si>
    <t>Total démarrage</t>
  </si>
  <si>
    <t>2. Fonctionnement</t>
  </si>
  <si>
    <t>Comptable</t>
  </si>
  <si>
    <t>Juriste</t>
  </si>
  <si>
    <t>Renouvellement ANATT</t>
  </si>
  <si>
    <t>Impôt minimum sur les sociétés</t>
  </si>
  <si>
    <t>Patente</t>
  </si>
  <si>
    <t>Total fonctionnement</t>
  </si>
  <si>
    <t>3. Achat des tricycles et des motos</t>
  </si>
  <si>
    <t>Total achat des véhicules</t>
  </si>
  <si>
    <t>4. Mise en circulation : assurance, droits taxi, visite technique, trackers GPS</t>
  </si>
  <si>
    <t>Assurance + droit taxi + visite technique : tricycles</t>
  </si>
  <si>
    <t>Assurance + droit taxi + visite technique : motos</t>
  </si>
  <si>
    <t>Trackers GPS : tricycles</t>
  </si>
  <si>
    <t>Trackers GPS : motos</t>
  </si>
  <si>
    <t>Total mise en circulation</t>
  </si>
  <si>
    <t>5. Recettes de TamCar (aux planchers de Mayeul)</t>
  </si>
  <si>
    <t>Tricycles</t>
  </si>
  <si>
    <t>Motos</t>
  </si>
  <si>
    <t>6. Caisse</t>
  </si>
  <si>
    <t>Résultat de la période (recettes − charges)</t>
  </si>
  <si>
    <t>Caisse en fin de période (démarrage = mois 0 ; années = mois 12, 24, 36 ; dernière colonne = plus bas niveau)</t>
  </si>
  <si>
    <t>Mois où la caisse est négative (nombre de mois)</t>
  </si>
  <si>
    <t>Premier mois de caisse négative</t>
  </si>
  <si>
    <t>Contrôle par rapport à la levée de 15 M (avant tout encaissement)</t>
  </si>
  <si>
    <t>Moins : démarrage</t>
  </si>
  <si>
    <t>Moins : fonctionnement année 1, hors responsable des opérations, voitures et épargne NSIA</t>
  </si>
  <si>
    <t>Marge disponible pour acheter et mettre en circulation les véhicules</t>
  </si>
  <si>
    <t>Mise de départ de la flotte (acompte + motos comptant + assurances + trackers, année 1)</t>
  </si>
  <si>
    <t>Marge restante après la mise de départ (négatif = dépassement)</t>
  </si>
  <si>
    <t>Autres charges de l'année 1 non comptées dans la marge : mensualités des tricycles et responsable des opérations</t>
  </si>
  <si>
    <t>Lecture : la marge de 4 M ignore les encaissements de l'année 1. Les mensualités des tricycles et le responsable des opérations sont payés par ces encaissements.</t>
  </si>
  <si>
    <t>Le fonds de rachat des conducteurs (encaissé à la cession, après 36 mois) n'est pas compté. Les voitures : assurance, trackers et entretien à la charge du propriétaire.</t>
  </si>
  <si>
    <t>Épargne NSIA : TamCar paie et prélève la même somme chaque jour (sans effet sur la caisse) ; seul le coût des postes vacants est compté. Si NSIA ne rend rien avant 2 ans et que TamCar rembourse les départs anticipés, ce coût s'ajoute.</t>
  </si>
  <si>
    <t>Aucune charge sociale ni frais Mobile Money (à la charge du client) ; entretien à la charge du conducteur ; assurance de la flotte : voir Hypothèses.</t>
  </si>
  <si>
    <t>Années 2 et 3 : les motos sont cédées aux conducteurs à 12 mois (plus d'assurance ni de tracker payés par TamCar) ; les tricycles restent à TamCar 36 mois.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</si>
</sst>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quot;mois &quot;0"/>
    <numFmt numFmtId="166" formatCode="0.0%"/>
    <numFmt numFmtId="167" formatCode="&quot;M&quot;0"/>
    <numFmt numFmtId="168" formatCode="0;\-0;\-"/>
    <numFmt numFmtId="169" formatCode="0.0"/>
  </numFmts>
  <fonts count="11" x14ac:knownFonts="1">
    <font>
      <sz val="11"/>
      <color theme="1"/>
      <name val="Calibri"/>
      <family val="2"/>
      <scheme val="minor"/>
    </font>
    <font>
      <b/>
      <sz val="14"/>
      <color rgb="FF071B3A"/>
      <name val="Arial"/>
    </font>
    <font>
      <i/>
      <sz val="9"/>
      <color rgb="FF555555"/>
      <name val="Arial"/>
    </font>
    <font>
      <b/>
      <sz val="10"/>
      <name val="Arial"/>
    </font>
    <font>
      <sz val="10"/>
      <name val="Arial"/>
    </font>
    <font>
      <sz val="10"/>
      <color rgb="FF0000FF"/>
      <name val="Arial"/>
    </font>
    <font>
      <b/>
      <sz val="10"/>
      <color rgb="FFFFFFFF"/>
      <name val="Arial"/>
    </font>
    <font>
      <sz val="10"/>
      <color rgb="FF008000"/>
      <name val="Arial"/>
    </font>
    <font>
      <b/>
      <sz val="10"/>
      <color rgb="FF008000"/>
      <name val="Arial"/>
    </font>
    <font>
      <sz val="10"/>
      <color rgb="FF000000"/>
      <name val="Arial"/>
    </font>
    <font>
      <b/>
      <sz val="10"/>
      <color rgb="FF000000"/>
      <name val="Arial"/>
    </font>
  </fonts>
  <fills count="7">
    <fill>
      <patternFill patternType="none"/>
    </fill>
    <fill>
      <patternFill patternType="gray125"/>
    </fill>
    <fill>
      <patternFill patternType="solid">
        <fgColor rgb="FFDDE5F4"/>
      </patternFill>
    </fill>
    <fill>
      <patternFill patternType="solid">
        <fgColor rgb="FFFFF9C4"/>
      </patternFill>
    </fill>
    <fill>
      <patternFill patternType="solid">
        <fgColor rgb="FF071B3A"/>
      </patternFill>
    </fill>
    <fill>
      <patternFill patternType="solid">
        <fgColor rgb="FFF2F4F8"/>
      </patternFill>
    </fill>
    <fill>
      <patternFill patternType="solid">
        <fgColor rgb="FFC9D6F2"/>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6" fillId="4" borderId="0" xfId="0" applyFont="1" applyFill="1" applyAlignment="1">
      <alignment horizontal="center" wrapText="1"/>
    </xf>
    <xf numFmtId="0" fontId="3" fillId="2" borderId="0" xfId="0" applyFont="1" applyFill="1"/>
    <xf numFmtId="0" fontId="0" fillId="2" borderId="0" xfId="0" applyFill="1"/>
    <xf numFmtId="0" fontId="4" fillId="0" borderId="0" xfId="0" applyFont="1"/>
    <xf numFmtId="164" fontId="7" fillId="0" borderId="0" xfId="0" applyNumberFormat="1" applyFont="1"/>
    <xf numFmtId="0" fontId="3" fillId="5" borderId="0" xfId="0" applyFont="1" applyFill="1"/>
    <xf numFmtId="164" fontId="8" fillId="5" borderId="0" xfId="0" applyNumberFormat="1" applyFont="1" applyFill="1"/>
    <xf numFmtId="0" fontId="3" fillId="6" borderId="0" xfId="0" applyFont="1" applyFill="1"/>
    <xf numFmtId="164" fontId="8" fillId="6" borderId="0" xfId="0" applyNumberFormat="1" applyFont="1" applyFill="1"/>
    <xf numFmtId="0" fontId="3" fillId="0" borderId="0" xfId="0" applyFont="1"/>
    <xf numFmtId="164" fontId="8" fillId="0" borderId="0" xfId="0" applyNumberFormat="1" applyFont="1"/>
    <xf numFmtId="1" fontId="7" fillId="0" borderId="0" xfId="0" applyNumberFormat="1" applyFont="1"/>
    <xf numFmtId="164" fontId="9" fillId="0" borderId="0" xfId="0" applyNumberFormat="1" applyFont="1"/>
    <xf numFmtId="164" fontId="10" fillId="0" borderId="0" xfId="0" applyNumberFormat="1" applyFont="1"/>
    <xf numFmtId="1" fontId="5" fillId="3" borderId="0" xfId="0" applyNumberFormat="1" applyFont="1" applyFill="1"/>
    <xf numFmtId="164" fontId="5" fillId="3" borderId="0" xfId="0" applyNumberFormat="1" applyFont="1" applyFill="1"/>
    <xf numFmtId="9" fontId="5" fillId="3" borderId="0" xfId="0" applyNumberFormat="1" applyFont="1" applyFill="1"/>
    <xf numFmtId="49" fontId="5" fillId="3" borderId="0" xfId="0" applyNumberFormat="1" applyFont="1" applyFill="1"/>
    <xf numFmtId="0" fontId="6" fillId="4" borderId="0" xfId="0" applyFont="1" applyFill="1" applyAlignment="1">
      <alignment horizontal="center" vertical="center" wrapText="1"/>
    </xf>
    <xf numFmtId="164" fontId="4" fillId="0" borderId="0" xfId="0" applyNumberFormat="1" applyFont="1"/>
    <xf numFmtId="164" fontId="3" fillId="5" borderId="0" xfId="0" applyNumberFormat="1" applyFont="1" applyFill="1"/>
    <xf numFmtId="164" fontId="3" fillId="6" borderId="0" xfId="0" applyNumberFormat="1" applyFont="1" applyFill="1"/>
    <xf numFmtId="164" fontId="3" fillId="0" borderId="0" xfId="0" applyNumberFormat="1" applyFont="1"/>
    <xf numFmtId="1" fontId="0" fillId="0" borderId="0" xfId="0" applyNumberFormat="1"/>
    <xf numFmtId="0" fontId="6" fillId="4" borderId="0" xfId="0" applyFont="1" applyFill="1" applyAlignment="1">
      <alignment horizontal="left" vertical="center" wrapText="1"/>
    </xf>
    <xf numFmtId="166" fontId="4" fillId="0" borderId="0" xfId="0" applyNumberFormat="1" applyFont="1"/>
    <xf numFmtId="166" fontId="3" fillId="6" borderId="0" xfId="0" applyNumberFormat="1" applyFont="1" applyFill="1"/>
    <xf numFmtId="166" fontId="5" fillId="3" borderId="0" xfId="0" applyNumberFormat="1" applyFont="1" applyFill="1"/>
    <xf numFmtId="164" fontId="2" fillId="0" borderId="0" xfId="0" applyNumberFormat="1" applyFont="1"/>
    <xf numFmtId="169" fontId="4" fillId="0" borderId="0" xfId="0" applyNumberFormat="1" applyFont="1"/>
    <xf numFmtId="1" fontId="4" fillId="0" borderId="0" xfId="0" applyNumberFormat="1" applyFont="1"/>
    <xf numFmtId="167" fontId="6" fillId="4" borderId="0" xfId="0" applyNumberFormat="1" applyFont="1" applyFill="1" applyAlignment="1">
      <alignment horizontal="center"/>
    </xf>
    <xf numFmtId="168" fontId="5" fillId="3" borderId="0" xfId="0" applyNumberFormat="1" applyFont="1" applyFill="1"/>
    <xf numFmtId="168" fontId="7" fillId="0" borderId="0" xfId="0" applyNumberFormat="1" applyFont="1"/>
    <xf numFmtId="168" fontId="4" fillId="0" borderId="0" xfId="0" applyNumberFormat="1" applyFont="1"/>
    <xf numFmtId="165" fontId="7" fillId="0" borderId="0" xfId="0" applyNumberFormat="1" applyFont="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showGridLines="0" tabSelected="1"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66" customWidth="1"/>
    <col min="2" max="4" width="18" customWidth="1"/>
    <col min="5" max="5" width="22" customWidth="1"/>
  </cols>
  <sheetData>
    <row r="1" spans="1:5" ht="17.399999999999999" x14ac:dyDescent="0.3">
      <c r="A1" s="1" t="s">
        <v>0</v>
      </c>
    </row>
    <row r="2" spans="1:5" x14ac:dyDescent="0.3">
      <c r="A2" s="2" t="s">
        <v>1</v>
      </c>
    </row>
    <row r="4" spans="1:5" ht="30" customHeight="1" x14ac:dyDescent="0.3">
      <c r="A4" s="27" t="s">
        <v>2</v>
      </c>
      <c r="B4" s="21" t="s">
        <v>3</v>
      </c>
      <c r="C4" s="21" t="s">
        <v>4</v>
      </c>
      <c r="D4" s="21" t="s">
        <v>5</v>
      </c>
      <c r="E4" s="21" t="s">
        <v>6</v>
      </c>
    </row>
    <row r="5" spans="1:5" x14ac:dyDescent="0.3">
      <c r="A5" s="6" t="s">
        <v>7</v>
      </c>
      <c r="B5" s="22">
        <f>-Démarrage!B12</f>
        <v>-4550000</v>
      </c>
    </row>
    <row r="6" spans="1:5" x14ac:dyDescent="0.3">
      <c r="A6" s="10" t="s">
        <v>8</v>
      </c>
      <c r="B6" s="24">
        <f>Résultat!B6</f>
        <v>13104173.333333338</v>
      </c>
      <c r="C6" s="24">
        <f>Résultat!C6</f>
        <v>10682880</v>
      </c>
      <c r="D6" s="24">
        <f>Résultat!D6</f>
        <v>10233600</v>
      </c>
      <c r="E6" s="24">
        <f>Résultat!E6</f>
        <v>34020653.333333336</v>
      </c>
    </row>
    <row r="7" spans="1:5" x14ac:dyDescent="0.3">
      <c r="A7" s="6" t="s">
        <v>9</v>
      </c>
      <c r="B7" s="22">
        <f>Résultat!B7+Résultat!B8</f>
        <v>-9105870</v>
      </c>
      <c r="C7" s="22">
        <f>Résultat!C7+Résultat!C8</f>
        <v>-10616870</v>
      </c>
      <c r="D7" s="22">
        <f>Résultat!D7+Résultat!D8</f>
        <v>-9716870</v>
      </c>
      <c r="E7" s="22">
        <f>Résultat!E7+Résultat!E8</f>
        <v>-29439610</v>
      </c>
    </row>
    <row r="8" spans="1:5" x14ac:dyDescent="0.3">
      <c r="A8" s="10" t="s">
        <v>10</v>
      </c>
      <c r="B8" s="24">
        <f>Résultat!B9</f>
        <v>3998303.3333333377</v>
      </c>
      <c r="C8" s="24">
        <f>Résultat!C9</f>
        <v>66010</v>
      </c>
      <c r="D8" s="24">
        <f>Résultat!D9</f>
        <v>516730</v>
      </c>
      <c r="E8" s="24">
        <f>Résultat!E9</f>
        <v>4581043.3333333377</v>
      </c>
    </row>
    <row r="9" spans="1:5" x14ac:dyDescent="0.3">
      <c r="A9" s="6" t="s">
        <v>11</v>
      </c>
      <c r="B9" s="22">
        <f>Résultat!B10+Résultat!B11</f>
        <v>-6275000</v>
      </c>
      <c r="C9" s="22">
        <f>Résultat!C10+Résultat!C11</f>
        <v>-850000.00000000012</v>
      </c>
      <c r="D9" s="22">
        <f>Résultat!D10+Résultat!D11</f>
        <v>-850000.00000000012</v>
      </c>
      <c r="E9" s="22">
        <f>Résultat!E10+Résultat!E11</f>
        <v>-7975000</v>
      </c>
    </row>
    <row r="10" spans="1:5" x14ac:dyDescent="0.3">
      <c r="A10" s="10" t="s">
        <v>12</v>
      </c>
      <c r="B10" s="24">
        <f>Résultat!B14</f>
        <v>-2276696.6666666623</v>
      </c>
      <c r="C10" s="24">
        <f>Résultat!C14</f>
        <v>-783990.00000000012</v>
      </c>
      <c r="D10" s="24">
        <f>Résultat!D14</f>
        <v>-333270.00000000012</v>
      </c>
      <c r="E10" s="24">
        <f>Résultat!E14</f>
        <v>-3393956.6666666623</v>
      </c>
    </row>
    <row r="11" spans="1:5" x14ac:dyDescent="0.3">
      <c r="A11" s="6" t="s">
        <v>13</v>
      </c>
      <c r="B11" s="22">
        <f>Résultat!B17+Résultat!B18</f>
        <v>-695000</v>
      </c>
      <c r="C11" s="22">
        <f>Résultat!C17+Résultat!C18</f>
        <v>-790000</v>
      </c>
      <c r="D11" s="22">
        <f>Résultat!D17+Résultat!D18</f>
        <v>-790000</v>
      </c>
      <c r="E11" s="22">
        <f>Résultat!E17+Résultat!E18</f>
        <v>-2275000</v>
      </c>
    </row>
    <row r="12" spans="1:5" x14ac:dyDescent="0.3">
      <c r="A12" s="10" t="s">
        <v>14</v>
      </c>
      <c r="B12" s="24">
        <f>Résultat!B19</f>
        <v>-2971696.6666666623</v>
      </c>
      <c r="C12" s="24">
        <f>Résultat!C19</f>
        <v>-1573990</v>
      </c>
      <c r="D12" s="24">
        <f>Résultat!D19</f>
        <v>-1123270</v>
      </c>
      <c r="E12" s="24">
        <f>Résultat!E19</f>
        <v>-5668956.6666666623</v>
      </c>
    </row>
    <row r="13" spans="1:5" x14ac:dyDescent="0.3">
      <c r="A13" s="6" t="s">
        <v>15</v>
      </c>
      <c r="B13" s="22">
        <f>Résultat!B31</f>
        <v>-4386279.9999999963</v>
      </c>
      <c r="C13" s="22">
        <f>Résultat!C31</f>
        <v>-24406.666666666511</v>
      </c>
      <c r="D13" s="22">
        <f>Résultat!D31</f>
        <v>516730</v>
      </c>
      <c r="E13" s="22">
        <f>Résultat!E31</f>
        <v>-3893956.6666666623</v>
      </c>
    </row>
    <row r="14" spans="1:5" x14ac:dyDescent="0.3">
      <c r="A14" s="10" t="s">
        <v>16</v>
      </c>
      <c r="B14" s="24">
        <f>Résultat!B33</f>
        <v>10613719.999999998</v>
      </c>
      <c r="C14" s="24">
        <f>Résultat!C33</f>
        <v>10589313.333333332</v>
      </c>
      <c r="D14" s="24">
        <f>Résultat!D33</f>
        <v>11106043.333333332</v>
      </c>
      <c r="E14" s="10"/>
    </row>
    <row r="15" spans="1:5" x14ac:dyDescent="0.3">
      <c r="A15" s="6" t="s">
        <v>17</v>
      </c>
      <c r="B15" s="28">
        <f>IF(B6=0,0,B8/B6)</f>
        <v>0.30511679230942229</v>
      </c>
      <c r="C15" s="28">
        <f>IF(C6=0,0,C8/C6)</f>
        <v>6.1790453510663793E-3</v>
      </c>
      <c r="D15" s="28">
        <f>IF(D6=0,0,D8/D6)</f>
        <v>5.0493472482801754E-2</v>
      </c>
      <c r="E15" s="28">
        <f>IF(E6=0,0,E8/E6)</f>
        <v>0.1346547724539095</v>
      </c>
    </row>
    <row r="17" spans="1:5" x14ac:dyDescent="0.3">
      <c r="A17" s="4" t="s">
        <v>18</v>
      </c>
      <c r="B17" s="4"/>
      <c r="C17" s="4"/>
      <c r="D17" s="4"/>
      <c r="E17" s="4"/>
    </row>
    <row r="18" spans="1:5" ht="30" customHeight="1" x14ac:dyDescent="0.3">
      <c r="A18" s="27" t="s">
        <v>19</v>
      </c>
      <c r="B18" s="21" t="s">
        <v>20</v>
      </c>
      <c r="C18" s="21" t="s">
        <v>21</v>
      </c>
      <c r="D18" s="21" t="s">
        <v>22</v>
      </c>
      <c r="E18" s="21" t="s">
        <v>23</v>
      </c>
    </row>
    <row r="19" spans="1:5" x14ac:dyDescent="0.3">
      <c r="A19" s="6" t="s">
        <v>24</v>
      </c>
      <c r="B19" s="22">
        <f>Marge!B6</f>
        <v>3737500</v>
      </c>
      <c r="C19" s="22">
        <f>Marge!B11</f>
        <v>222499.99999999997</v>
      </c>
      <c r="D19" s="28">
        <f>Marge!B12</f>
        <v>5.953177257525083E-2</v>
      </c>
      <c r="E19" s="22">
        <f>Marge!B14</f>
        <v>-1653854.768786127</v>
      </c>
    </row>
    <row r="20" spans="1:5" x14ac:dyDescent="0.3">
      <c r="A20" s="6" t="s">
        <v>25</v>
      </c>
      <c r="B20" s="22">
        <f>Marge!C6</f>
        <v>1320583.3333333335</v>
      </c>
      <c r="C20" s="22">
        <f>Marge!C11</f>
        <v>511916.66666666674</v>
      </c>
      <c r="D20" s="28">
        <f>Marge!C12</f>
        <v>0.38764434908815548</v>
      </c>
      <c r="E20" s="22">
        <f>Marge!C14</f>
        <v>-151062.01830443158</v>
      </c>
    </row>
    <row r="21" spans="1:5" x14ac:dyDescent="0.3">
      <c r="A21" s="6" t="s">
        <v>26</v>
      </c>
      <c r="B21" s="22">
        <f>Marge!D6</f>
        <v>4951440</v>
      </c>
      <c r="C21" s="22">
        <f>Marge!D11</f>
        <v>4277520</v>
      </c>
      <c r="D21" s="28">
        <f>Marge!D12</f>
        <v>0.86389413988657848</v>
      </c>
      <c r="E21" s="22">
        <f>Marge!D14</f>
        <v>1791725.2023121389</v>
      </c>
    </row>
    <row r="22" spans="1:5" x14ac:dyDescent="0.3">
      <c r="A22" s="6" t="s">
        <v>27</v>
      </c>
      <c r="B22" s="22">
        <f>Marge!E6</f>
        <v>3094650</v>
      </c>
      <c r="C22" s="22">
        <f>Marge!E11</f>
        <v>2673450</v>
      </c>
      <c r="D22" s="28">
        <f>Marge!E12</f>
        <v>0.86389413988657848</v>
      </c>
      <c r="E22" s="22">
        <f>Marge!E14</f>
        <v>1119828.2514450867</v>
      </c>
    </row>
    <row r="23" spans="1:5" x14ac:dyDescent="0.3">
      <c r="A23" s="10" t="s">
        <v>28</v>
      </c>
      <c r="B23" s="24">
        <f>Marge!F6</f>
        <v>13104173.333333334</v>
      </c>
      <c r="C23" s="24">
        <f>Marge!F11</f>
        <v>7685386.6666666679</v>
      </c>
      <c r="D23" s="29">
        <f>Marge!F12</f>
        <v>0.5864838987681279</v>
      </c>
      <c r="E23" s="24">
        <f>Marge!F14</f>
        <v>1106636.6666666679</v>
      </c>
    </row>
    <row r="25" spans="1:5" x14ac:dyDescent="0.3">
      <c r="A25" s="4" t="s">
        <v>29</v>
      </c>
      <c r="B25" s="4"/>
      <c r="C25" s="4"/>
      <c r="D25" s="4"/>
      <c r="E25" s="4"/>
    </row>
    <row r="26" spans="1:5" ht="58.05" customHeight="1" x14ac:dyDescent="0.3">
      <c r="A26" s="39" t="s">
        <v>30</v>
      </c>
      <c r="B26" s="40"/>
      <c r="C26" s="40"/>
      <c r="D26" s="40"/>
      <c r="E26" s="40"/>
    </row>
    <row r="27" spans="1:5" ht="58.05" customHeight="1" x14ac:dyDescent="0.3">
      <c r="A27" s="39" t="s">
        <v>31</v>
      </c>
      <c r="B27" s="40"/>
      <c r="C27" s="40"/>
      <c r="D27" s="40"/>
      <c r="E27" s="40"/>
    </row>
    <row r="28" spans="1:5" ht="58.05" customHeight="1" x14ac:dyDescent="0.3">
      <c r="A28" s="39" t="s">
        <v>32</v>
      </c>
      <c r="B28" s="40"/>
      <c r="C28" s="40"/>
      <c r="D28" s="40"/>
      <c r="E28" s="40"/>
    </row>
    <row r="29" spans="1:5" ht="58.05" customHeight="1" x14ac:dyDescent="0.3">
      <c r="A29" s="39" t="s">
        <v>33</v>
      </c>
      <c r="B29" s="40"/>
      <c r="C29" s="40"/>
      <c r="D29" s="40"/>
      <c r="E29" s="40"/>
    </row>
    <row r="30" spans="1:5" ht="58.05" customHeight="1" x14ac:dyDescent="0.3">
      <c r="A30" s="39" t="s">
        <v>34</v>
      </c>
      <c r="B30" s="40"/>
      <c r="C30" s="40"/>
      <c r="D30" s="40"/>
      <c r="E30" s="40"/>
    </row>
  </sheetData>
  <mergeCells count="5">
    <mergeCell ref="A30:E30"/>
    <mergeCell ref="A29:E29"/>
    <mergeCell ref="A26:E26"/>
    <mergeCell ref="A28:E28"/>
    <mergeCell ref="A27:E2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showGridLines="0" topLeftCell="A56" workbookViewId="0"/>
  </sheetViews>
  <sheetFormatPr baseColWidth="10" defaultColWidth="8.88671875" defaultRowHeight="14.4" x14ac:dyDescent="0.3"/>
  <cols>
    <col min="1" max="1" width="62" customWidth="1"/>
    <col min="2" max="2" width="16" customWidth="1"/>
    <col min="3" max="3" width="95" customWidth="1"/>
  </cols>
  <sheetData>
    <row r="1" spans="1:3" ht="17.399999999999999" customHeight="1" x14ac:dyDescent="0.3">
      <c r="A1" s="1" t="s">
        <v>35</v>
      </c>
    </row>
    <row r="2" spans="1:3" x14ac:dyDescent="0.3">
      <c r="A2" s="2" t="s">
        <v>36</v>
      </c>
    </row>
    <row r="4" spans="1:3" x14ac:dyDescent="0.3">
      <c r="A4" s="4" t="s">
        <v>37</v>
      </c>
      <c r="B4" s="5"/>
      <c r="C4" s="5"/>
    </row>
    <row r="5" spans="1:3" x14ac:dyDescent="0.3">
      <c r="A5" s="6" t="s">
        <v>38</v>
      </c>
      <c r="B5" s="17">
        <v>1</v>
      </c>
      <c r="C5" s="2" t="s">
        <v>39</v>
      </c>
    </row>
    <row r="6" spans="1:3" x14ac:dyDescent="0.3">
      <c r="A6" s="6" t="s">
        <v>40</v>
      </c>
      <c r="B6" s="17">
        <v>5</v>
      </c>
      <c r="C6" s="2" t="s">
        <v>39</v>
      </c>
    </row>
    <row r="8" spans="1:3" x14ac:dyDescent="0.3">
      <c r="A8" s="4" t="s">
        <v>41</v>
      </c>
      <c r="B8" s="5"/>
      <c r="C8" s="5"/>
    </row>
    <row r="9" spans="1:3" x14ac:dyDescent="0.3">
      <c r="A9" s="6" t="s">
        <v>42</v>
      </c>
      <c r="B9" s="18">
        <v>1550000</v>
      </c>
      <c r="C9" s="2" t="s">
        <v>43</v>
      </c>
    </row>
    <row r="10" spans="1:3" x14ac:dyDescent="0.3">
      <c r="A10" s="6" t="s">
        <v>44</v>
      </c>
      <c r="B10" s="19">
        <v>0.3</v>
      </c>
      <c r="C10" s="2" t="s">
        <v>45</v>
      </c>
    </row>
    <row r="11" spans="1:3" x14ac:dyDescent="0.3">
      <c r="A11" s="6" t="s">
        <v>46</v>
      </c>
      <c r="B11" s="17">
        <v>12</v>
      </c>
      <c r="C11" s="2" t="s">
        <v>47</v>
      </c>
    </row>
    <row r="12" spans="1:3" x14ac:dyDescent="0.3">
      <c r="A12" s="6" t="s">
        <v>48</v>
      </c>
      <c r="B12" s="18">
        <v>475000</v>
      </c>
      <c r="C12" s="2" t="s">
        <v>49</v>
      </c>
    </row>
    <row r="14" spans="1:3" x14ac:dyDescent="0.3">
      <c r="A14" s="4" t="s">
        <v>50</v>
      </c>
      <c r="B14" s="5"/>
      <c r="C14" s="5"/>
    </row>
    <row r="15" spans="1:3" x14ac:dyDescent="0.3">
      <c r="A15" s="6" t="s">
        <v>51</v>
      </c>
      <c r="B15" s="18">
        <v>75000</v>
      </c>
      <c r="C15" s="2" t="s">
        <v>52</v>
      </c>
    </row>
    <row r="16" spans="1:3" x14ac:dyDescent="0.3">
      <c r="A16" s="6" t="s">
        <v>53</v>
      </c>
      <c r="B16" s="18">
        <v>50000</v>
      </c>
      <c r="C16" s="2" t="s">
        <v>54</v>
      </c>
    </row>
    <row r="17" spans="1:3" x14ac:dyDescent="0.3">
      <c r="A17" s="6" t="s">
        <v>55</v>
      </c>
      <c r="B17" s="18">
        <v>139000</v>
      </c>
      <c r="C17" s="2" t="s">
        <v>56</v>
      </c>
    </row>
    <row r="18" spans="1:3" x14ac:dyDescent="0.3">
      <c r="A18" s="6" t="s">
        <v>57</v>
      </c>
      <c r="B18" s="18">
        <v>89000</v>
      </c>
      <c r="C18" s="2" t="s">
        <v>58</v>
      </c>
    </row>
    <row r="19" spans="1:3" x14ac:dyDescent="0.3">
      <c r="A19" s="6" t="s">
        <v>59</v>
      </c>
      <c r="B19" s="18">
        <v>139000</v>
      </c>
      <c r="C19" s="2" t="s">
        <v>60</v>
      </c>
    </row>
    <row r="21" spans="1:3" x14ac:dyDescent="0.3">
      <c r="A21" s="4" t="s">
        <v>61</v>
      </c>
      <c r="B21" s="5"/>
      <c r="C21" s="5"/>
    </row>
    <row r="22" spans="1:3" x14ac:dyDescent="0.3">
      <c r="A22" s="6" t="s">
        <v>62</v>
      </c>
      <c r="B22" s="18">
        <v>1500000</v>
      </c>
      <c r="C22" s="2" t="s">
        <v>63</v>
      </c>
    </row>
    <row r="23" spans="1:3" x14ac:dyDescent="0.3">
      <c r="A23" s="6" t="s">
        <v>64</v>
      </c>
      <c r="B23" s="18">
        <v>300000</v>
      </c>
      <c r="C23" s="2" t="s">
        <v>63</v>
      </c>
    </row>
    <row r="24" spans="1:3" x14ac:dyDescent="0.3">
      <c r="A24" s="6" t="s">
        <v>65</v>
      </c>
      <c r="B24" s="18">
        <v>100000</v>
      </c>
      <c r="C24" s="2" t="s">
        <v>63</v>
      </c>
    </row>
    <row r="25" spans="1:3" x14ac:dyDescent="0.3">
      <c r="A25" s="6" t="s">
        <v>66</v>
      </c>
      <c r="B25" s="18">
        <v>500000</v>
      </c>
      <c r="C25" s="2" t="s">
        <v>63</v>
      </c>
    </row>
    <row r="26" spans="1:3" x14ac:dyDescent="0.3">
      <c r="A26" s="6" t="s">
        <v>67</v>
      </c>
      <c r="B26" s="18">
        <v>1000000</v>
      </c>
      <c r="C26" s="2" t="s">
        <v>63</v>
      </c>
    </row>
    <row r="27" spans="1:3" x14ac:dyDescent="0.3">
      <c r="A27" s="6" t="s">
        <v>68</v>
      </c>
      <c r="B27" s="18">
        <v>1000000</v>
      </c>
      <c r="C27" s="2" t="s">
        <v>63</v>
      </c>
    </row>
    <row r="28" spans="1:3" x14ac:dyDescent="0.3">
      <c r="A28" s="6" t="s">
        <v>69</v>
      </c>
      <c r="B28" s="18">
        <v>150000</v>
      </c>
      <c r="C28" s="2" t="s">
        <v>63</v>
      </c>
    </row>
    <row r="30" spans="1:3" x14ac:dyDescent="0.3">
      <c r="A30" s="4" t="s">
        <v>70</v>
      </c>
      <c r="B30" s="5"/>
      <c r="C30" s="5"/>
    </row>
    <row r="31" spans="1:3" x14ac:dyDescent="0.3">
      <c r="A31" s="6" t="s">
        <v>71</v>
      </c>
      <c r="B31" s="18">
        <v>100000</v>
      </c>
      <c r="C31" s="2" t="s">
        <v>72</v>
      </c>
    </row>
    <row r="32" spans="1:3" x14ac:dyDescent="0.3">
      <c r="A32" s="6" t="s">
        <v>73</v>
      </c>
      <c r="B32" s="18">
        <v>75000</v>
      </c>
      <c r="C32" s="2" t="s">
        <v>74</v>
      </c>
    </row>
    <row r="33" spans="1:3" x14ac:dyDescent="0.3">
      <c r="A33" s="6" t="s">
        <v>75</v>
      </c>
      <c r="B33" s="18">
        <v>200000</v>
      </c>
      <c r="C33" s="2" t="s">
        <v>72</v>
      </c>
    </row>
    <row r="34" spans="1:3" x14ac:dyDescent="0.3">
      <c r="A34" s="6" t="s">
        <v>76</v>
      </c>
      <c r="B34" s="17">
        <v>13</v>
      </c>
      <c r="C34" s="2" t="s">
        <v>77</v>
      </c>
    </row>
    <row r="35" spans="1:3" x14ac:dyDescent="0.3">
      <c r="A35" s="6" t="s">
        <v>78</v>
      </c>
      <c r="B35" s="18">
        <v>75000</v>
      </c>
      <c r="C35" s="2" t="s">
        <v>79</v>
      </c>
    </row>
    <row r="36" spans="1:3" x14ac:dyDescent="0.3">
      <c r="A36" s="6" t="s">
        <v>80</v>
      </c>
      <c r="B36" s="18">
        <v>100000</v>
      </c>
      <c r="C36" s="2" t="s">
        <v>72</v>
      </c>
    </row>
    <row r="37" spans="1:3" x14ac:dyDescent="0.3">
      <c r="A37" s="6" t="s">
        <v>81</v>
      </c>
      <c r="B37" s="18">
        <v>50000</v>
      </c>
      <c r="C37" s="2" t="s">
        <v>72</v>
      </c>
    </row>
    <row r="38" spans="1:3" x14ac:dyDescent="0.3">
      <c r="A38" s="6" t="s">
        <v>82</v>
      </c>
      <c r="B38" s="18">
        <v>50000</v>
      </c>
      <c r="C38" s="2" t="s">
        <v>72</v>
      </c>
    </row>
    <row r="39" spans="1:3" x14ac:dyDescent="0.3">
      <c r="A39" s="6" t="s">
        <v>83</v>
      </c>
      <c r="B39" s="18">
        <v>75000</v>
      </c>
      <c r="C39" s="2" t="s">
        <v>72</v>
      </c>
    </row>
    <row r="40" spans="1:3" x14ac:dyDescent="0.3">
      <c r="A40" s="6" t="s">
        <v>84</v>
      </c>
      <c r="B40" s="18">
        <v>50000</v>
      </c>
      <c r="C40" s="2" t="s">
        <v>72</v>
      </c>
    </row>
    <row r="41" spans="1:3" x14ac:dyDescent="0.3">
      <c r="A41" s="6" t="s">
        <v>85</v>
      </c>
      <c r="B41" s="18">
        <v>100000</v>
      </c>
      <c r="C41" s="2" t="s">
        <v>72</v>
      </c>
    </row>
    <row r="42" spans="1:3" x14ac:dyDescent="0.3">
      <c r="A42" s="6" t="s">
        <v>86</v>
      </c>
      <c r="B42" s="17">
        <v>6</v>
      </c>
      <c r="C42" s="2" t="s">
        <v>87</v>
      </c>
    </row>
    <row r="43" spans="1:3" x14ac:dyDescent="0.3">
      <c r="A43" s="6" t="s">
        <v>88</v>
      </c>
      <c r="B43" s="30">
        <v>0.03</v>
      </c>
      <c r="C43" s="2" t="s">
        <v>89</v>
      </c>
    </row>
    <row r="44" spans="1:3" x14ac:dyDescent="0.3">
      <c r="A44" s="6" t="s">
        <v>90</v>
      </c>
      <c r="B44" s="18">
        <v>150000</v>
      </c>
      <c r="C44" s="2" t="s">
        <v>72</v>
      </c>
    </row>
    <row r="45" spans="1:3" x14ac:dyDescent="0.3">
      <c r="A45" s="6" t="s">
        <v>91</v>
      </c>
      <c r="B45" s="18">
        <v>8333.3333333333339</v>
      </c>
      <c r="C45" s="2" t="s">
        <v>92</v>
      </c>
    </row>
    <row r="46" spans="1:3" x14ac:dyDescent="0.3">
      <c r="A46" s="6" t="s">
        <v>93</v>
      </c>
      <c r="B46" s="18">
        <v>4166.666666666667</v>
      </c>
      <c r="C46" s="2" t="s">
        <v>94</v>
      </c>
    </row>
    <row r="47" spans="1:3" x14ac:dyDescent="0.3">
      <c r="A47" s="6" t="s">
        <v>95</v>
      </c>
      <c r="B47" s="17">
        <v>26</v>
      </c>
      <c r="C47" s="2" t="s">
        <v>96</v>
      </c>
    </row>
    <row r="48" spans="1:3" x14ac:dyDescent="0.3">
      <c r="A48" s="6" t="s">
        <v>97</v>
      </c>
      <c r="B48" s="18">
        <v>280000</v>
      </c>
      <c r="C48" s="2" t="s">
        <v>98</v>
      </c>
    </row>
    <row r="49" spans="1:3" x14ac:dyDescent="0.3">
      <c r="A49" s="6" t="s">
        <v>99</v>
      </c>
      <c r="B49" s="18">
        <v>254000</v>
      </c>
      <c r="C49" s="2" t="s">
        <v>100</v>
      </c>
    </row>
    <row r="50" spans="1:3" x14ac:dyDescent="0.3">
      <c r="A50" s="6" t="s">
        <v>101</v>
      </c>
      <c r="B50" s="18">
        <v>70000</v>
      </c>
      <c r="C50" s="2" t="s">
        <v>102</v>
      </c>
    </row>
    <row r="51" spans="1:3" x14ac:dyDescent="0.3">
      <c r="A51" s="6" t="s">
        <v>103</v>
      </c>
      <c r="B51" s="19">
        <v>0.17</v>
      </c>
      <c r="C51" s="2" t="s">
        <v>104</v>
      </c>
    </row>
    <row r="53" spans="1:3" x14ac:dyDescent="0.3">
      <c r="A53" s="4" t="s">
        <v>105</v>
      </c>
      <c r="B53" s="5"/>
      <c r="C53" s="5"/>
    </row>
    <row r="54" spans="1:3" x14ac:dyDescent="0.3">
      <c r="A54" s="6" t="s">
        <v>106</v>
      </c>
      <c r="B54" s="18">
        <v>15000000</v>
      </c>
      <c r="C54" s="2" t="s">
        <v>107</v>
      </c>
    </row>
    <row r="56" spans="1:3" x14ac:dyDescent="0.3">
      <c r="A56" s="4" t="s">
        <v>108</v>
      </c>
      <c r="B56" s="5"/>
      <c r="C56" s="5"/>
    </row>
    <row r="57" spans="1:3" x14ac:dyDescent="0.3">
      <c r="A57" s="6" t="s">
        <v>109</v>
      </c>
      <c r="B57" s="17">
        <v>6</v>
      </c>
      <c r="C57" s="2" t="s">
        <v>110</v>
      </c>
    </row>
    <row r="58" spans="1:3" x14ac:dyDescent="0.3">
      <c r="A58" s="6" t="s">
        <v>111</v>
      </c>
      <c r="B58" s="17">
        <v>3</v>
      </c>
      <c r="C58" s="2"/>
    </row>
    <row r="59" spans="1:3" x14ac:dyDescent="0.3">
      <c r="A59" s="6" t="s">
        <v>112</v>
      </c>
      <c r="B59" s="17">
        <v>1</v>
      </c>
      <c r="C59" s="2" t="s">
        <v>113</v>
      </c>
    </row>
    <row r="60" spans="1:3" x14ac:dyDescent="0.3">
      <c r="A60" s="6" t="s">
        <v>114</v>
      </c>
      <c r="B60" s="18">
        <v>12000</v>
      </c>
      <c r="C60" s="2" t="s">
        <v>115</v>
      </c>
    </row>
    <row r="61" spans="1:3" x14ac:dyDescent="0.3">
      <c r="A61" s="6" t="s">
        <v>116</v>
      </c>
      <c r="B61" s="18">
        <v>15000</v>
      </c>
      <c r="C61" s="2" t="s">
        <v>117</v>
      </c>
    </row>
    <row r="62" spans="1:3" x14ac:dyDescent="0.3">
      <c r="A62" s="6" t="s">
        <v>118</v>
      </c>
      <c r="B62" s="19">
        <v>0.23</v>
      </c>
      <c r="C62" s="2" t="s">
        <v>119</v>
      </c>
    </row>
    <row r="63" spans="1:3" x14ac:dyDescent="0.3">
      <c r="A63" s="6" t="s">
        <v>120</v>
      </c>
      <c r="B63" s="19">
        <v>0.22</v>
      </c>
      <c r="C63" s="2" t="s">
        <v>121</v>
      </c>
    </row>
    <row r="64" spans="1:3" x14ac:dyDescent="0.3">
      <c r="A64" s="6" t="s">
        <v>122</v>
      </c>
      <c r="B64" s="19">
        <v>0.2</v>
      </c>
      <c r="C64" s="2" t="s">
        <v>123</v>
      </c>
    </row>
    <row r="65" spans="1:3" x14ac:dyDescent="0.3">
      <c r="A65" s="6" t="s">
        <v>124</v>
      </c>
      <c r="B65" s="17">
        <v>24</v>
      </c>
      <c r="C65" s="2" t="s">
        <v>125</v>
      </c>
    </row>
    <row r="66" spans="1:3" x14ac:dyDescent="0.3">
      <c r="A66" s="6" t="s">
        <v>126</v>
      </c>
      <c r="B66" s="17">
        <v>36</v>
      </c>
      <c r="C66" s="2" t="s">
        <v>127</v>
      </c>
    </row>
    <row r="67" spans="1:3" x14ac:dyDescent="0.3">
      <c r="A67" s="6" t="s">
        <v>128</v>
      </c>
      <c r="B67" s="18">
        <v>100000</v>
      </c>
      <c r="C67" s="2" t="s">
        <v>129</v>
      </c>
    </row>
    <row r="68" spans="1:3" x14ac:dyDescent="0.3">
      <c r="A68" s="6" t="s">
        <v>130</v>
      </c>
      <c r="B68" s="20" t="s">
        <v>131</v>
      </c>
      <c r="C68" s="2" t="s">
        <v>132</v>
      </c>
    </row>
    <row r="70" spans="1:3" x14ac:dyDescent="0.3">
      <c r="A70" s="4" t="s">
        <v>133</v>
      </c>
      <c r="B70" s="5"/>
      <c r="C70" s="5"/>
    </row>
    <row r="71" spans="1:3" x14ac:dyDescent="0.3">
      <c r="A71" s="6" t="s">
        <v>134</v>
      </c>
      <c r="B71" s="19">
        <v>0.53</v>
      </c>
      <c r="C71" s="2" t="s">
        <v>135</v>
      </c>
    </row>
    <row r="72" spans="1:3" x14ac:dyDescent="0.3">
      <c r="A72" s="6" t="s">
        <v>136</v>
      </c>
      <c r="B72" s="19">
        <v>0.52</v>
      </c>
      <c r="C72" s="2" t="s">
        <v>137</v>
      </c>
    </row>
    <row r="73" spans="1:3" x14ac:dyDescent="0.3">
      <c r="A73" s="6" t="s">
        <v>138</v>
      </c>
      <c r="B73" s="19">
        <v>0.2</v>
      </c>
      <c r="C73" s="2" t="s">
        <v>123</v>
      </c>
    </row>
    <row r="74" spans="1:3" x14ac:dyDescent="0.3">
      <c r="A74" s="6" t="s">
        <v>139</v>
      </c>
      <c r="B74" s="17">
        <v>36</v>
      </c>
      <c r="C74" s="2" t="s">
        <v>140</v>
      </c>
    </row>
    <row r="75" spans="1:3" x14ac:dyDescent="0.3">
      <c r="A75" s="6" t="s">
        <v>141</v>
      </c>
      <c r="B75" s="18">
        <v>2500</v>
      </c>
      <c r="C75" s="2" t="s">
        <v>142</v>
      </c>
    </row>
    <row r="76" spans="1:3" x14ac:dyDescent="0.3">
      <c r="A76" s="6" t="s">
        <v>143</v>
      </c>
      <c r="B76" s="17">
        <v>12</v>
      </c>
      <c r="C76" s="2" t="s">
        <v>144</v>
      </c>
    </row>
    <row r="77" spans="1:3" x14ac:dyDescent="0.3">
      <c r="A77" s="6" t="s">
        <v>145</v>
      </c>
      <c r="B77" s="19">
        <v>0.2</v>
      </c>
      <c r="C77" s="2" t="s">
        <v>146</v>
      </c>
    </row>
    <row r="79" spans="1:3" x14ac:dyDescent="0.3">
      <c r="A79" s="4" t="s">
        <v>147</v>
      </c>
      <c r="B79" s="5"/>
      <c r="C79" s="5"/>
    </row>
    <row r="80" spans="1:3" x14ac:dyDescent="0.3">
      <c r="A80" s="6" t="s">
        <v>148</v>
      </c>
      <c r="B80" s="18">
        <v>1000</v>
      </c>
      <c r="C80" s="2" t="s">
        <v>149</v>
      </c>
    </row>
    <row r="81" spans="1:3" x14ac:dyDescent="0.3">
      <c r="A81" s="6" t="s">
        <v>150</v>
      </c>
      <c r="B81" s="19">
        <v>0.25</v>
      </c>
      <c r="C81" s="2" t="s">
        <v>151</v>
      </c>
    </row>
    <row r="82" spans="1:3" x14ac:dyDescent="0.3">
      <c r="A82" s="6" t="s">
        <v>152</v>
      </c>
      <c r="B82" s="17">
        <v>21</v>
      </c>
      <c r="C82" s="2" t="s">
        <v>153</v>
      </c>
    </row>
    <row r="84" spans="1:3" x14ac:dyDescent="0.3">
      <c r="A84" s="2" t="s">
        <v>154</v>
      </c>
    </row>
    <row r="86" spans="1:3" x14ac:dyDescent="0.3">
      <c r="A86" s="4" t="s">
        <v>155</v>
      </c>
      <c r="B86" s="5"/>
      <c r="C86" s="5"/>
    </row>
    <row r="87" spans="1:3" x14ac:dyDescent="0.3">
      <c r="A87" s="6" t="s">
        <v>156</v>
      </c>
      <c r="B87" s="17">
        <v>36</v>
      </c>
      <c r="C87" s="2" t="s">
        <v>157</v>
      </c>
    </row>
    <row r="88" spans="1:3" x14ac:dyDescent="0.3">
      <c r="A88" s="6" t="s">
        <v>158</v>
      </c>
      <c r="B88" s="19">
        <v>0.3</v>
      </c>
      <c r="C88" s="2" t="s">
        <v>159</v>
      </c>
    </row>
    <row r="89" spans="1:3" x14ac:dyDescent="0.3">
      <c r="A89" s="6" t="s">
        <v>160</v>
      </c>
      <c r="B89" s="17">
        <v>2</v>
      </c>
      <c r="C89" s="2" t="s">
        <v>161</v>
      </c>
    </row>
    <row r="90" spans="1:3" x14ac:dyDescent="0.3">
      <c r="A90" s="6" t="s">
        <v>162</v>
      </c>
      <c r="B90" s="18">
        <v>95000</v>
      </c>
      <c r="C90" s="2" t="s">
        <v>163</v>
      </c>
    </row>
    <row r="91" spans="1:3" x14ac:dyDescent="0.3">
      <c r="A91" s="6" t="s">
        <v>164</v>
      </c>
      <c r="B91" s="17">
        <v>7</v>
      </c>
      <c r="C91" s="2" t="s">
        <v>165</v>
      </c>
    </row>
    <row r="92" spans="1:3" x14ac:dyDescent="0.3">
      <c r="A92" s="6" t="s">
        <v>166</v>
      </c>
      <c r="B92" s="18">
        <v>50000</v>
      </c>
      <c r="C92" s="2" t="s">
        <v>167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customWidth="1"/>
    <col min="2" max="2" width="16" customWidth="1"/>
    <col min="3" max="3" width="30" customWidth="1"/>
    <col min="4" max="4" width="62" customWidth="1"/>
    <col min="5" max="7" width="16" customWidth="1"/>
  </cols>
  <sheetData>
    <row r="1" spans="1:7" ht="17.399999999999999" x14ac:dyDescent="0.3">
      <c r="A1" s="1" t="s">
        <v>168</v>
      </c>
    </row>
    <row r="2" spans="1:7" x14ac:dyDescent="0.3">
      <c r="A2" s="2" t="s">
        <v>169</v>
      </c>
    </row>
    <row r="4" spans="1:7" ht="30" customHeight="1" x14ac:dyDescent="0.3">
      <c r="A4" s="27" t="s">
        <v>170</v>
      </c>
      <c r="B4" s="21" t="s">
        <v>171</v>
      </c>
      <c r="C4" s="21" t="s">
        <v>172</v>
      </c>
      <c r="D4" s="21" t="s">
        <v>173</v>
      </c>
      <c r="E4" s="21" t="s">
        <v>174</v>
      </c>
      <c r="F4" s="21" t="s">
        <v>175</v>
      </c>
      <c r="G4" s="21" t="s">
        <v>176</v>
      </c>
    </row>
    <row r="5" spans="1:7" x14ac:dyDescent="0.3">
      <c r="A5" s="6" t="s">
        <v>62</v>
      </c>
      <c r="B5" s="22">
        <f>Hypothèses!B22</f>
        <v>1500000</v>
      </c>
      <c r="C5" s="6" t="s">
        <v>177</v>
      </c>
      <c r="D5" s="6" t="s">
        <v>178</v>
      </c>
      <c r="E5" s="22">
        <f>B5</f>
        <v>1500000</v>
      </c>
      <c r="F5" s="22">
        <v>0</v>
      </c>
      <c r="G5" s="22">
        <v>0</v>
      </c>
    </row>
    <row r="6" spans="1:7" x14ac:dyDescent="0.3">
      <c r="A6" s="6" t="s">
        <v>64</v>
      </c>
      <c r="B6" s="22">
        <f>Hypothèses!B23</f>
        <v>300000</v>
      </c>
      <c r="C6" s="6" t="s">
        <v>179</v>
      </c>
      <c r="D6" s="6" t="s">
        <v>180</v>
      </c>
      <c r="E6" s="22">
        <f>B6</f>
        <v>300000</v>
      </c>
      <c r="F6" s="22">
        <v>0</v>
      </c>
      <c r="G6" s="22">
        <v>0</v>
      </c>
    </row>
    <row r="7" spans="1:7" x14ac:dyDescent="0.3">
      <c r="A7" s="6" t="s">
        <v>65</v>
      </c>
      <c r="B7" s="22">
        <f>Hypothèses!B24</f>
        <v>100000</v>
      </c>
      <c r="C7" s="6" t="s">
        <v>181</v>
      </c>
      <c r="D7" s="6" t="s">
        <v>178</v>
      </c>
      <c r="E7" s="22">
        <f>B7</f>
        <v>100000</v>
      </c>
      <c r="F7" s="22">
        <v>0</v>
      </c>
      <c r="G7" s="22">
        <v>0</v>
      </c>
    </row>
    <row r="8" spans="1:7" x14ac:dyDescent="0.3">
      <c r="A8" s="6" t="s">
        <v>66</v>
      </c>
      <c r="B8" s="22">
        <f>Hypothèses!B25</f>
        <v>500000</v>
      </c>
      <c r="C8" s="6" t="s">
        <v>182</v>
      </c>
      <c r="D8" s="6" t="s">
        <v>183</v>
      </c>
      <c r="E8" s="22">
        <v>0</v>
      </c>
      <c r="F8" s="22">
        <f>B8</f>
        <v>500000</v>
      </c>
      <c r="G8" s="22">
        <v>0</v>
      </c>
    </row>
    <row r="9" spans="1:7" x14ac:dyDescent="0.3">
      <c r="A9" s="6" t="s">
        <v>67</v>
      </c>
      <c r="B9" s="22">
        <f>Hypothèses!B26</f>
        <v>1000000</v>
      </c>
      <c r="C9" s="6" t="s">
        <v>184</v>
      </c>
      <c r="D9" s="6" t="s">
        <v>185</v>
      </c>
      <c r="E9" s="22">
        <v>0</v>
      </c>
      <c r="F9" s="22">
        <f>B9</f>
        <v>1000000</v>
      </c>
      <c r="G9" s="22">
        <f>B9/Hypothèses!$B$87*12</f>
        <v>333333.33333333331</v>
      </c>
    </row>
    <row r="10" spans="1:7" x14ac:dyDescent="0.3">
      <c r="A10" s="6" t="s">
        <v>68</v>
      </c>
      <c r="B10" s="22">
        <f>Hypothèses!B27</f>
        <v>1000000</v>
      </c>
      <c r="C10" s="6" t="s">
        <v>186</v>
      </c>
      <c r="D10" s="6" t="s">
        <v>178</v>
      </c>
      <c r="E10" s="22">
        <f>B10</f>
        <v>1000000</v>
      </c>
      <c r="F10" s="22">
        <v>0</v>
      </c>
      <c r="G10" s="22">
        <v>0</v>
      </c>
    </row>
    <row r="11" spans="1:7" x14ac:dyDescent="0.3">
      <c r="A11" s="6" t="s">
        <v>69</v>
      </c>
      <c r="B11" s="22">
        <f>Hypothèses!B28</f>
        <v>150000</v>
      </c>
      <c r="C11" s="6" t="s">
        <v>187</v>
      </c>
      <c r="D11" s="6" t="s">
        <v>178</v>
      </c>
      <c r="E11" s="22">
        <f>B11</f>
        <v>150000</v>
      </c>
      <c r="F11" s="22">
        <v>0</v>
      </c>
      <c r="G11" s="22">
        <v>0</v>
      </c>
    </row>
    <row r="12" spans="1:7" x14ac:dyDescent="0.3">
      <c r="A12" s="10" t="s">
        <v>188</v>
      </c>
      <c r="B12" s="24">
        <f>SUM(B5:B11)</f>
        <v>4550000</v>
      </c>
      <c r="C12" s="10"/>
      <c r="D12" s="10"/>
      <c r="E12" s="24">
        <f>SUM(E5:E11)</f>
        <v>3050000</v>
      </c>
      <c r="F12" s="24">
        <f>SUM(F5:F11)</f>
        <v>1500000</v>
      </c>
      <c r="G12" s="24">
        <f>SUM(G5:G11)</f>
        <v>333333.33333333331</v>
      </c>
    </row>
    <row r="14" spans="1:7" x14ac:dyDescent="0.3">
      <c r="A14" s="4" t="s">
        <v>189</v>
      </c>
      <c r="B14" s="4"/>
      <c r="C14" s="4"/>
      <c r="D14" s="4"/>
      <c r="E14" s="4"/>
      <c r="F14" s="4"/>
      <c r="G14" s="4"/>
    </row>
    <row r="15" spans="1:7" x14ac:dyDescent="0.3">
      <c r="A15" s="6" t="s">
        <v>106</v>
      </c>
      <c r="B15" s="22">
        <f>Hypothèses!B54</f>
        <v>15000000</v>
      </c>
    </row>
    <row r="16" spans="1:7" x14ac:dyDescent="0.3">
      <c r="A16" s="6" t="s">
        <v>190</v>
      </c>
      <c r="B16" s="22">
        <f>-B12</f>
        <v>-4550000</v>
      </c>
    </row>
    <row r="17" spans="1:7" x14ac:dyDescent="0.3">
      <c r="A17" s="6" t="s">
        <v>191</v>
      </c>
      <c r="B17" s="28">
        <f>B12/B15</f>
        <v>0.30333333333333334</v>
      </c>
    </row>
    <row r="18" spans="1:7" x14ac:dyDescent="0.3">
      <c r="A18" s="12" t="s">
        <v>192</v>
      </c>
      <c r="B18" s="25">
        <f>B15+B16</f>
        <v>10450000</v>
      </c>
    </row>
    <row r="20" spans="1:7" x14ac:dyDescent="0.3">
      <c r="A20" s="4" t="s">
        <v>193</v>
      </c>
      <c r="B20" s="4"/>
      <c r="C20" s="4"/>
      <c r="D20" s="4"/>
      <c r="E20" s="4"/>
      <c r="F20" s="4"/>
      <c r="G20" s="4"/>
    </row>
    <row r="21" spans="1:7" x14ac:dyDescent="0.3">
      <c r="A21" s="6" t="s">
        <v>194</v>
      </c>
      <c r="B21" s="22">
        <f>Mensuel!C42</f>
        <v>465000</v>
      </c>
    </row>
    <row r="22" spans="1:7" x14ac:dyDescent="0.3">
      <c r="A22" s="6" t="s">
        <v>195</v>
      </c>
      <c r="B22" s="22">
        <f>Mensuel!C43</f>
        <v>994583.33333333314</v>
      </c>
    </row>
    <row r="23" spans="1:7" x14ac:dyDescent="0.3">
      <c r="A23" s="6" t="s">
        <v>196</v>
      </c>
      <c r="B23" s="22">
        <f>Mensuel!C44</f>
        <v>2375000</v>
      </c>
    </row>
    <row r="24" spans="1:7" x14ac:dyDescent="0.3">
      <c r="A24" s="6" t="s">
        <v>197</v>
      </c>
      <c r="B24" s="22">
        <f>Mensuel!C48+Mensuel!C49</f>
        <v>325000</v>
      </c>
    </row>
    <row r="25" spans="1:7" x14ac:dyDescent="0.3">
      <c r="A25" s="6" t="s">
        <v>198</v>
      </c>
      <c r="B25" s="22">
        <f>Mensuel!C50+Mensuel!C51</f>
        <v>834000</v>
      </c>
    </row>
    <row r="26" spans="1:7" x14ac:dyDescent="0.3">
      <c r="A26" s="10" t="s">
        <v>199</v>
      </c>
      <c r="B26" s="24">
        <f>SUM(B21:B25)</f>
        <v>4993583.333333333</v>
      </c>
      <c r="C26" s="10"/>
      <c r="D26" s="10"/>
      <c r="E26" s="10"/>
      <c r="F26" s="10"/>
      <c r="G26" s="10"/>
    </row>
    <row r="28" spans="1:7" x14ac:dyDescent="0.3">
      <c r="A28" s="2" t="s">
        <v>200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52" customWidth="1"/>
    <col min="2" max="14" width="13" customWidth="1"/>
  </cols>
  <sheetData>
    <row r="1" spans="1:5" ht="17.399999999999999" x14ac:dyDescent="0.3">
      <c r="A1" s="1" t="s">
        <v>201</v>
      </c>
    </row>
    <row r="2" spans="1:5" x14ac:dyDescent="0.3">
      <c r="A2" s="2" t="s">
        <v>202</v>
      </c>
    </row>
    <row r="4" spans="1:5" ht="30" customHeight="1" x14ac:dyDescent="0.3">
      <c r="A4" s="27" t="s">
        <v>8</v>
      </c>
      <c r="B4" s="21" t="s">
        <v>3</v>
      </c>
      <c r="C4" s="21" t="s">
        <v>4</v>
      </c>
      <c r="D4" s="21" t="s">
        <v>5</v>
      </c>
      <c r="E4" s="21" t="s">
        <v>6</v>
      </c>
    </row>
    <row r="5" spans="1:5" x14ac:dyDescent="0.3">
      <c r="A5" s="6" t="s">
        <v>25</v>
      </c>
      <c r="B5" s="22">
        <f>Mensuel!C58</f>
        <v>1320583.3333333335</v>
      </c>
      <c r="C5" s="22">
        <f>Mensuel!D58</f>
        <v>1352000.0000000007</v>
      </c>
      <c r="D5" s="22">
        <f>Mensuel!E58</f>
        <v>1352000.0000000007</v>
      </c>
      <c r="E5" s="22">
        <f>SUM(B5:D5)</f>
        <v>4024583.3333333349</v>
      </c>
    </row>
    <row r="6" spans="1:5" x14ac:dyDescent="0.3">
      <c r="A6" s="6" t="s">
        <v>24</v>
      </c>
      <c r="B6" s="22">
        <f>Mensuel!C59</f>
        <v>3737500</v>
      </c>
      <c r="C6" s="22">
        <f>Mensuel!D59</f>
        <v>1300000</v>
      </c>
      <c r="D6" s="22">
        <f>Mensuel!E59</f>
        <v>1300000</v>
      </c>
      <c r="E6" s="22">
        <f>SUM(B6:D6)</f>
        <v>6337500</v>
      </c>
    </row>
    <row r="7" spans="1:5" x14ac:dyDescent="0.3">
      <c r="A7" s="6" t="s">
        <v>26</v>
      </c>
      <c r="B7" s="22">
        <f>Mensuel!C60</f>
        <v>4951440</v>
      </c>
      <c r="C7" s="22">
        <f>Mensuel!D60</f>
        <v>4942080</v>
      </c>
      <c r="D7" s="22">
        <f>Mensuel!E60</f>
        <v>4492800</v>
      </c>
      <c r="E7" s="22">
        <f>SUM(B7:D7)</f>
        <v>14386320</v>
      </c>
    </row>
    <row r="8" spans="1:5" x14ac:dyDescent="0.3">
      <c r="A8" s="6" t="s">
        <v>27</v>
      </c>
      <c r="B8" s="22">
        <f>Mensuel!C61</f>
        <v>3094650</v>
      </c>
      <c r="C8" s="22">
        <f>Mensuel!D61</f>
        <v>3088800</v>
      </c>
      <c r="D8" s="22">
        <f>Mensuel!E61</f>
        <v>3088800</v>
      </c>
      <c r="E8" s="22">
        <f>SUM(B8:D8)</f>
        <v>9272250</v>
      </c>
    </row>
    <row r="9" spans="1:5" x14ac:dyDescent="0.3">
      <c r="A9" s="10" t="s">
        <v>203</v>
      </c>
      <c r="B9" s="24">
        <f>SUM(B5:B8)</f>
        <v>13104173.333333334</v>
      </c>
      <c r="C9" s="24">
        <f>SUM(C5:C8)</f>
        <v>10682880</v>
      </c>
      <c r="D9" s="24">
        <f>SUM(D5:D8)</f>
        <v>10233600</v>
      </c>
      <c r="E9" s="24">
        <f>SUM(E5:E8)</f>
        <v>34020653.333333336</v>
      </c>
    </row>
    <row r="10" spans="1:5" x14ac:dyDescent="0.3">
      <c r="A10" s="6" t="s">
        <v>204</v>
      </c>
      <c r="C10" s="28">
        <f>IF(B9=0,0,C9/B9-1)</f>
        <v>-0.18477268819195514</v>
      </c>
      <c r="D10" s="28">
        <f>IF(C9=0,0,D9/C9-1)</f>
        <v>-4.2056074766355089E-2</v>
      </c>
    </row>
    <row r="11" spans="1:5" x14ac:dyDescent="0.3">
      <c r="A11" s="6" t="s">
        <v>205</v>
      </c>
      <c r="B11" s="22">
        <f>B9/12</f>
        <v>1092014.4444444445</v>
      </c>
      <c r="C11" s="22">
        <f>C9/12</f>
        <v>890240</v>
      </c>
      <c r="D11" s="22">
        <f>D9/12</f>
        <v>852800</v>
      </c>
    </row>
    <row r="13" spans="1:5" x14ac:dyDescent="0.3">
      <c r="A13" s="4" t="s">
        <v>206</v>
      </c>
      <c r="B13" s="4"/>
      <c r="C13" s="4"/>
      <c r="D13" s="4"/>
      <c r="E13" s="4"/>
    </row>
    <row r="14" spans="1:5" ht="30" customHeight="1" x14ac:dyDescent="0.3">
      <c r="A14" s="27" t="s">
        <v>207</v>
      </c>
      <c r="B14" s="21" t="s">
        <v>3</v>
      </c>
      <c r="C14" s="21" t="s">
        <v>4</v>
      </c>
      <c r="D14" s="21" t="s">
        <v>5</v>
      </c>
      <c r="E14" s="21" t="s">
        <v>6</v>
      </c>
    </row>
    <row r="15" spans="1:5" x14ac:dyDescent="0.3">
      <c r="A15" s="6" t="s">
        <v>25</v>
      </c>
      <c r="B15" s="22">
        <f>Mensuel!C80</f>
        <v>2491666.666666667</v>
      </c>
      <c r="C15" s="22">
        <f>Mensuel!D80</f>
        <v>2600000</v>
      </c>
      <c r="D15" s="22">
        <f>Mensuel!E80</f>
        <v>2600000</v>
      </c>
      <c r="E15" s="22">
        <f>SUM(B15:D15)</f>
        <v>7691666.666666667</v>
      </c>
    </row>
    <row r="16" spans="1:5" x14ac:dyDescent="0.3">
      <c r="A16" s="6" t="s">
        <v>24</v>
      </c>
      <c r="B16" s="22">
        <f>Mensuel!C81</f>
        <v>6229166.6666666688</v>
      </c>
      <c r="C16" s="22">
        <f>Mensuel!D81</f>
        <v>6500000.0000000028</v>
      </c>
      <c r="D16" s="22">
        <f>Mensuel!E81</f>
        <v>6500000.0000000028</v>
      </c>
      <c r="E16" s="22">
        <f>SUM(B16:D16)</f>
        <v>19229166.666666675</v>
      </c>
    </row>
    <row r="17" spans="1:14" x14ac:dyDescent="0.3">
      <c r="A17" s="6" t="s">
        <v>26</v>
      </c>
      <c r="B17" s="22">
        <f>Mensuel!C82</f>
        <v>21528000</v>
      </c>
      <c r="C17" s="22">
        <f>Mensuel!D82</f>
        <v>22464000</v>
      </c>
      <c r="D17" s="22">
        <f>Mensuel!E82</f>
        <v>22464000</v>
      </c>
      <c r="E17" s="22">
        <f>SUM(B17:D17)</f>
        <v>66456000</v>
      </c>
    </row>
    <row r="18" spans="1:14" x14ac:dyDescent="0.3">
      <c r="A18" s="6" t="s">
        <v>27</v>
      </c>
      <c r="B18" s="22">
        <f>Mensuel!C83</f>
        <v>13455000</v>
      </c>
      <c r="C18" s="22">
        <f>Mensuel!D83</f>
        <v>14040000</v>
      </c>
      <c r="D18" s="22">
        <f>Mensuel!E83</f>
        <v>14040000</v>
      </c>
      <c r="E18" s="22">
        <f>SUM(B18:D18)</f>
        <v>41535000</v>
      </c>
    </row>
    <row r="19" spans="1:14" x14ac:dyDescent="0.3">
      <c r="A19" s="10" t="s">
        <v>208</v>
      </c>
      <c r="B19" s="24">
        <f>SUM(B15:B18)</f>
        <v>43703833.333333336</v>
      </c>
      <c r="C19" s="24">
        <f>SUM(C15:C18)</f>
        <v>45604000</v>
      </c>
      <c r="D19" s="24">
        <f>SUM(D15:D18)</f>
        <v>45604000</v>
      </c>
      <c r="E19" s="24">
        <f>SUM(E15:E18)</f>
        <v>134911833.33333334</v>
      </c>
    </row>
    <row r="20" spans="1:14" x14ac:dyDescent="0.3">
      <c r="A20" s="6" t="s">
        <v>209</v>
      </c>
      <c r="B20" s="28">
        <f>IF(B19=0,0,B9/B19)</f>
        <v>0.29984036488027366</v>
      </c>
      <c r="C20" s="28">
        <f>IF(C19=0,0,C9/C19)</f>
        <v>0.23425313568985176</v>
      </c>
      <c r="D20" s="28">
        <f>IF(D19=0,0,D9/D19)</f>
        <v>0.22440136830102622</v>
      </c>
      <c r="E20" s="28">
        <f>IF(E19=0,0,E9/E19)</f>
        <v>0.25216952800038545</v>
      </c>
    </row>
    <row r="21" spans="1:14" x14ac:dyDescent="0.3">
      <c r="A21" s="6" t="s">
        <v>210</v>
      </c>
      <c r="B21" s="28">
        <f>IF(B9=0,0,(B7+B8)/B9)</f>
        <v>0.61400973532096137</v>
      </c>
      <c r="C21" s="28">
        <f>IF(C9=0,0,(C7+C8)/C9)</f>
        <v>0.75175233644859818</v>
      </c>
      <c r="D21" s="28">
        <f>IF(D9=0,0,(D7+D8)/D9)</f>
        <v>0.74085365853658536</v>
      </c>
      <c r="E21" s="28">
        <f>IF(E9=0,0,(E7+E8)/E9)</f>
        <v>0.69541786185568055</v>
      </c>
    </row>
    <row r="23" spans="1:14" x14ac:dyDescent="0.3">
      <c r="A23" s="4" t="s">
        <v>211</v>
      </c>
      <c r="B23" s="4"/>
      <c r="C23" s="4"/>
      <c r="D23" s="4"/>
      <c r="E23" s="4"/>
    </row>
    <row r="24" spans="1:14" x14ac:dyDescent="0.3">
      <c r="A24" s="6" t="s">
        <v>212</v>
      </c>
      <c r="B24" s="22">
        <f>Hypothèses!B45</f>
        <v>8333.3333333333339</v>
      </c>
    </row>
    <row r="25" spans="1:14" x14ac:dyDescent="0.3">
      <c r="A25" s="6" t="s">
        <v>213</v>
      </c>
      <c r="B25" s="22">
        <f>Hypothèses!B46</f>
        <v>4166.666666666667</v>
      </c>
    </row>
    <row r="26" spans="1:14" x14ac:dyDescent="0.3">
      <c r="A26" s="6" t="s">
        <v>214</v>
      </c>
      <c r="B26" s="22">
        <f>Hypothèses!B75</f>
        <v>2500</v>
      </c>
    </row>
    <row r="27" spans="1:14" x14ac:dyDescent="0.3">
      <c r="A27" s="6" t="s">
        <v>215</v>
      </c>
      <c r="B27" s="22">
        <f>Hypothèses!B60</f>
        <v>12000</v>
      </c>
    </row>
    <row r="28" spans="1:14" x14ac:dyDescent="0.3">
      <c r="A28" s="6" t="s">
        <v>216</v>
      </c>
      <c r="B28" s="22">
        <f>Hypothèses!B61</f>
        <v>15000</v>
      </c>
    </row>
    <row r="29" spans="1:14" x14ac:dyDescent="0.3">
      <c r="A29" s="6" t="s">
        <v>95</v>
      </c>
      <c r="B29" s="22">
        <f>Hypothèses!B47</f>
        <v>26</v>
      </c>
    </row>
    <row r="31" spans="1:14" x14ac:dyDescent="0.3">
      <c r="A31" s="4" t="s">
        <v>217</v>
      </c>
      <c r="B31" s="4"/>
      <c r="C31" s="4"/>
      <c r="D31" s="4"/>
      <c r="E31" s="4"/>
      <c r="F31" s="4"/>
      <c r="G31" s="4"/>
      <c r="H31" s="4"/>
      <c r="I31" s="4"/>
      <c r="J31" s="4"/>
      <c r="K31" s="4"/>
      <c r="L31" s="4"/>
      <c r="M31" s="4"/>
      <c r="N31" s="4"/>
    </row>
    <row r="32" spans="1:14" ht="30" customHeight="1" x14ac:dyDescent="0.3">
      <c r="A32" s="27" t="s">
        <v>218</v>
      </c>
      <c r="B32" s="21" t="s">
        <v>219</v>
      </c>
      <c r="C32" s="21" t="s">
        <v>220</v>
      </c>
      <c r="D32" s="21" t="s">
        <v>221</v>
      </c>
      <c r="E32" s="21" t="s">
        <v>222</v>
      </c>
      <c r="F32" s="21" t="s">
        <v>223</v>
      </c>
      <c r="G32" s="21" t="s">
        <v>224</v>
      </c>
      <c r="H32" s="21" t="s">
        <v>225</v>
      </c>
      <c r="I32" s="21" t="s">
        <v>226</v>
      </c>
      <c r="J32" s="21" t="s">
        <v>227</v>
      </c>
      <c r="K32" s="21" t="s">
        <v>228</v>
      </c>
      <c r="L32" s="21" t="s">
        <v>229</v>
      </c>
      <c r="M32" s="21" t="s">
        <v>230</v>
      </c>
      <c r="N32" s="21" t="s">
        <v>3</v>
      </c>
    </row>
    <row r="33" spans="1:14" x14ac:dyDescent="0.3">
      <c r="A33" s="6" t="s">
        <v>25</v>
      </c>
      <c r="B33" s="22">
        <f>Mensuel!H58</f>
        <v>57416.666666666672</v>
      </c>
      <c r="C33" s="22">
        <f>Mensuel!I58</f>
        <v>114833.33333333334</v>
      </c>
      <c r="D33" s="22">
        <f>Mensuel!J58</f>
        <v>114833.33333333334</v>
      </c>
      <c r="E33" s="22">
        <f>Mensuel!K58</f>
        <v>114833.33333333334</v>
      </c>
      <c r="F33" s="22">
        <f>Mensuel!L58</f>
        <v>114833.33333333334</v>
      </c>
      <c r="G33" s="22">
        <f>Mensuel!M58</f>
        <v>114833.33333333334</v>
      </c>
      <c r="H33" s="22">
        <f>Mensuel!N58</f>
        <v>114833.33333333334</v>
      </c>
      <c r="I33" s="22">
        <f>Mensuel!O58</f>
        <v>114833.33333333334</v>
      </c>
      <c r="J33" s="22">
        <f>Mensuel!P58</f>
        <v>114833.33333333334</v>
      </c>
      <c r="K33" s="22">
        <f>Mensuel!Q58</f>
        <v>114833.33333333334</v>
      </c>
      <c r="L33" s="22">
        <f>Mensuel!R58</f>
        <v>114833.33333333334</v>
      </c>
      <c r="M33" s="22">
        <f>Mensuel!S58</f>
        <v>114833.33333333334</v>
      </c>
      <c r="N33" s="22">
        <f>SUM(B33:M33)</f>
        <v>1320583.3333333335</v>
      </c>
    </row>
    <row r="34" spans="1:14" x14ac:dyDescent="0.3">
      <c r="A34" s="6" t="s">
        <v>24</v>
      </c>
      <c r="B34" s="22">
        <f>Mensuel!H59</f>
        <v>162500</v>
      </c>
      <c r="C34" s="22">
        <f>Mensuel!I59</f>
        <v>325000</v>
      </c>
      <c r="D34" s="22">
        <f>Mensuel!J59</f>
        <v>325000</v>
      </c>
      <c r="E34" s="22">
        <f>Mensuel!K59</f>
        <v>325000</v>
      </c>
      <c r="F34" s="22">
        <f>Mensuel!L59</f>
        <v>325000</v>
      </c>
      <c r="G34" s="22">
        <f>Mensuel!M59</f>
        <v>325000</v>
      </c>
      <c r="H34" s="22">
        <f>Mensuel!N59</f>
        <v>325000</v>
      </c>
      <c r="I34" s="22">
        <f>Mensuel!O59</f>
        <v>325000</v>
      </c>
      <c r="J34" s="22">
        <f>Mensuel!P59</f>
        <v>325000</v>
      </c>
      <c r="K34" s="22">
        <f>Mensuel!Q59</f>
        <v>325000</v>
      </c>
      <c r="L34" s="22">
        <f>Mensuel!R59</f>
        <v>325000</v>
      </c>
      <c r="M34" s="22">
        <f>Mensuel!S59</f>
        <v>325000</v>
      </c>
      <c r="N34" s="22">
        <f>SUM(B34:M34)</f>
        <v>3737500</v>
      </c>
    </row>
    <row r="35" spans="1:14" x14ac:dyDescent="0.3">
      <c r="A35" s="6" t="s">
        <v>26</v>
      </c>
      <c r="B35" s="22">
        <f>Mensuel!H60</f>
        <v>215280</v>
      </c>
      <c r="C35" s="22">
        <f>Mensuel!I60</f>
        <v>430560</v>
      </c>
      <c r="D35" s="22">
        <f>Mensuel!J60</f>
        <v>430560</v>
      </c>
      <c r="E35" s="22">
        <f>Mensuel!K60</f>
        <v>430560</v>
      </c>
      <c r="F35" s="22">
        <f>Mensuel!L60</f>
        <v>430560</v>
      </c>
      <c r="G35" s="22">
        <f>Mensuel!M60</f>
        <v>430560</v>
      </c>
      <c r="H35" s="22">
        <f>Mensuel!N60</f>
        <v>430560</v>
      </c>
      <c r="I35" s="22">
        <f>Mensuel!O60</f>
        <v>430560</v>
      </c>
      <c r="J35" s="22">
        <f>Mensuel!P60</f>
        <v>430560</v>
      </c>
      <c r="K35" s="22">
        <f>Mensuel!Q60</f>
        <v>430560</v>
      </c>
      <c r="L35" s="22">
        <f>Mensuel!R60</f>
        <v>430560</v>
      </c>
      <c r="M35" s="22">
        <f>Mensuel!S60</f>
        <v>430560</v>
      </c>
      <c r="N35" s="22">
        <f>SUM(B35:M35)</f>
        <v>4951440</v>
      </c>
    </row>
    <row r="36" spans="1:14" x14ac:dyDescent="0.3">
      <c r="A36" s="6" t="s">
        <v>27</v>
      </c>
      <c r="B36" s="22">
        <f>Mensuel!H61</f>
        <v>134550</v>
      </c>
      <c r="C36" s="22">
        <f>Mensuel!I61</f>
        <v>269100</v>
      </c>
      <c r="D36" s="22">
        <f>Mensuel!J61</f>
        <v>269100</v>
      </c>
      <c r="E36" s="22">
        <f>Mensuel!K61</f>
        <v>269100</v>
      </c>
      <c r="F36" s="22">
        <f>Mensuel!L61</f>
        <v>269100</v>
      </c>
      <c r="G36" s="22">
        <f>Mensuel!M61</f>
        <v>269100</v>
      </c>
      <c r="H36" s="22">
        <f>Mensuel!N61</f>
        <v>269100</v>
      </c>
      <c r="I36" s="22">
        <f>Mensuel!O61</f>
        <v>269100</v>
      </c>
      <c r="J36" s="22">
        <f>Mensuel!P61</f>
        <v>269100</v>
      </c>
      <c r="K36" s="22">
        <f>Mensuel!Q61</f>
        <v>269100</v>
      </c>
      <c r="L36" s="22">
        <f>Mensuel!R61</f>
        <v>269100</v>
      </c>
      <c r="M36" s="22">
        <f>Mensuel!S61</f>
        <v>269100</v>
      </c>
      <c r="N36" s="22">
        <f>SUM(B36:M36)</f>
        <v>3094650</v>
      </c>
    </row>
    <row r="37" spans="1:14" x14ac:dyDescent="0.3">
      <c r="A37" s="10" t="s">
        <v>231</v>
      </c>
      <c r="B37" s="24">
        <f t="shared" ref="B37:N37" si="0">SUM(B33:B36)</f>
        <v>569746.66666666674</v>
      </c>
      <c r="C37" s="24">
        <f t="shared" si="0"/>
        <v>1139493.3333333335</v>
      </c>
      <c r="D37" s="24">
        <f t="shared" si="0"/>
        <v>1139493.3333333335</v>
      </c>
      <c r="E37" s="24">
        <f t="shared" si="0"/>
        <v>1139493.3333333335</v>
      </c>
      <c r="F37" s="24">
        <f t="shared" si="0"/>
        <v>1139493.3333333335</v>
      </c>
      <c r="G37" s="24">
        <f t="shared" si="0"/>
        <v>1139493.3333333335</v>
      </c>
      <c r="H37" s="24">
        <f t="shared" si="0"/>
        <v>1139493.3333333335</v>
      </c>
      <c r="I37" s="24">
        <f t="shared" si="0"/>
        <v>1139493.3333333335</v>
      </c>
      <c r="J37" s="24">
        <f t="shared" si="0"/>
        <v>1139493.3333333335</v>
      </c>
      <c r="K37" s="24">
        <f t="shared" si="0"/>
        <v>1139493.3333333335</v>
      </c>
      <c r="L37" s="24">
        <f t="shared" si="0"/>
        <v>1139493.3333333335</v>
      </c>
      <c r="M37" s="24">
        <f t="shared" si="0"/>
        <v>1139493.3333333335</v>
      </c>
      <c r="N37" s="24">
        <f t="shared" si="0"/>
        <v>13104173.333333334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8"/>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0" customWidth="1"/>
    <col min="2" max="2" width="18" customWidth="1"/>
    <col min="3" max="6" width="16" customWidth="1"/>
  </cols>
  <sheetData>
    <row r="1" spans="1:6" ht="17.399999999999999" x14ac:dyDescent="0.3">
      <c r="A1" s="1" t="s">
        <v>232</v>
      </c>
    </row>
    <row r="2" spans="1:6" x14ac:dyDescent="0.3">
      <c r="A2" s="2" t="s">
        <v>233</v>
      </c>
    </row>
    <row r="4" spans="1:6" ht="30" customHeight="1" x14ac:dyDescent="0.3">
      <c r="A4" s="27" t="s">
        <v>170</v>
      </c>
      <c r="B4" s="21" t="s">
        <v>61</v>
      </c>
      <c r="C4" s="21" t="s">
        <v>3</v>
      </c>
      <c r="D4" s="21" t="s">
        <v>4</v>
      </c>
      <c r="E4" s="21" t="s">
        <v>5</v>
      </c>
      <c r="F4" s="21" t="s">
        <v>6</v>
      </c>
    </row>
    <row r="5" spans="1:6" x14ac:dyDescent="0.3">
      <c r="A5" s="4" t="s">
        <v>234</v>
      </c>
      <c r="B5" s="4"/>
      <c r="C5" s="4"/>
      <c r="D5" s="4"/>
      <c r="E5" s="4"/>
      <c r="F5" s="4"/>
    </row>
    <row r="6" spans="1:6" x14ac:dyDescent="0.3">
      <c r="A6" s="6" t="str">
        <f>Mensuel!A13</f>
        <v>Formalisation de la société</v>
      </c>
      <c r="B6" s="22">
        <f>Mensuel!B13</f>
        <v>1500000</v>
      </c>
      <c r="C6" s="22">
        <f>Mensuel!C13</f>
        <v>0</v>
      </c>
      <c r="D6" s="22">
        <f>Mensuel!D13</f>
        <v>0</v>
      </c>
      <c r="E6" s="22">
        <f>Mensuel!E13</f>
        <v>0</v>
      </c>
      <c r="F6" s="22">
        <f>Mensuel!F13</f>
        <v>1500000</v>
      </c>
    </row>
    <row r="7" spans="1:6" x14ac:dyDescent="0.3">
      <c r="A7" s="6" t="str">
        <f>Mensuel!A14</f>
        <v>ANATT (autorisation de transporteur)</v>
      </c>
      <c r="B7" s="22">
        <f>Mensuel!B14</f>
        <v>300000</v>
      </c>
      <c r="C7" s="22">
        <f>Mensuel!C14</f>
        <v>0</v>
      </c>
      <c r="D7" s="22">
        <f>Mensuel!D14</f>
        <v>0</v>
      </c>
      <c r="E7" s="22">
        <f>Mensuel!E14</f>
        <v>0</v>
      </c>
      <c r="F7" s="22">
        <f>Mensuel!F14</f>
        <v>300000</v>
      </c>
    </row>
    <row r="8" spans="1:6" x14ac:dyDescent="0.3">
      <c r="A8" s="6" t="str">
        <f>Mensuel!A15</f>
        <v>Juriste (contrats)</v>
      </c>
      <c r="B8" s="22">
        <f>Mensuel!B15</f>
        <v>100000</v>
      </c>
      <c r="C8" s="22">
        <f>Mensuel!C15</f>
        <v>0</v>
      </c>
      <c r="D8" s="22">
        <f>Mensuel!D15</f>
        <v>0</v>
      </c>
      <c r="E8" s="22">
        <f>Mensuel!E15</f>
        <v>0</v>
      </c>
      <c r="F8" s="22">
        <f>Mensuel!F15</f>
        <v>100000</v>
      </c>
    </row>
    <row r="9" spans="1:6" x14ac:dyDescent="0.3">
      <c r="A9" s="6" t="str">
        <f>Mensuel!A16</f>
        <v>Bureau de Cotonou (caution, aménagement)</v>
      </c>
      <c r="B9" s="22">
        <f>Mensuel!B16</f>
        <v>500000</v>
      </c>
      <c r="C9" s="22">
        <f>Mensuel!C16</f>
        <v>0</v>
      </c>
      <c r="D9" s="22">
        <f>Mensuel!D16</f>
        <v>0</v>
      </c>
      <c r="E9" s="22">
        <f>Mensuel!E16</f>
        <v>0</v>
      </c>
      <c r="F9" s="22">
        <f>Mensuel!F16</f>
        <v>500000</v>
      </c>
    </row>
    <row r="10" spans="1:6" x14ac:dyDescent="0.3">
      <c r="A10" s="6" t="str">
        <f>Mensuel!A17</f>
        <v>Matériel informatique et mobilier (2 bureaux)</v>
      </c>
      <c r="B10" s="22">
        <f>Mensuel!B17</f>
        <v>1000000</v>
      </c>
      <c r="C10" s="22">
        <f>Mensuel!C17</f>
        <v>0</v>
      </c>
      <c r="D10" s="22">
        <f>Mensuel!D17</f>
        <v>0</v>
      </c>
      <c r="E10" s="22">
        <f>Mensuel!E17</f>
        <v>0</v>
      </c>
      <c r="F10" s="22">
        <f>Mensuel!F17</f>
        <v>1000000</v>
      </c>
    </row>
    <row r="11" spans="1:6" x14ac:dyDescent="0.3">
      <c r="A11" s="6" t="str">
        <f>Mensuel!A18</f>
        <v>Marketing de lancement (photo, vidéo, sponsoring)</v>
      </c>
      <c r="B11" s="22">
        <f>Mensuel!B18</f>
        <v>1000000</v>
      </c>
      <c r="C11" s="22">
        <f>Mensuel!C18</f>
        <v>0</v>
      </c>
      <c r="D11" s="22">
        <f>Mensuel!D18</f>
        <v>0</v>
      </c>
      <c r="E11" s="22">
        <f>Mensuel!E18</f>
        <v>0</v>
      </c>
      <c r="F11" s="22">
        <f>Mensuel!F18</f>
        <v>1000000</v>
      </c>
    </row>
    <row r="12" spans="1:6" x14ac:dyDescent="0.3">
      <c r="A12" s="6" t="str">
        <f>Mensuel!A19</f>
        <v>Graphisme</v>
      </c>
      <c r="B12" s="22">
        <f>Mensuel!B19</f>
        <v>150000</v>
      </c>
      <c r="C12" s="22">
        <f>Mensuel!C19</f>
        <v>0</v>
      </c>
      <c r="D12" s="22">
        <f>Mensuel!D19</f>
        <v>0</v>
      </c>
      <c r="E12" s="22">
        <f>Mensuel!E19</f>
        <v>0</v>
      </c>
      <c r="F12" s="22">
        <f>Mensuel!F19</f>
        <v>150000</v>
      </c>
    </row>
    <row r="13" spans="1:6" x14ac:dyDescent="0.3">
      <c r="A13" s="10" t="s">
        <v>235</v>
      </c>
      <c r="B13" s="24">
        <f>Mensuel!B20</f>
        <v>4550000</v>
      </c>
      <c r="C13" s="24">
        <f>Mensuel!C20</f>
        <v>0</v>
      </c>
      <c r="D13" s="24">
        <f>Mensuel!D20</f>
        <v>0</v>
      </c>
      <c r="E13" s="24">
        <f>Mensuel!E20</f>
        <v>0</v>
      </c>
      <c r="F13" s="24">
        <f>Mensuel!F20</f>
        <v>4550000</v>
      </c>
    </row>
    <row r="15" spans="1:6" x14ac:dyDescent="0.3">
      <c r="A15" s="4" t="s">
        <v>236</v>
      </c>
      <c r="B15" s="4"/>
      <c r="C15" s="4"/>
      <c r="D15" s="4"/>
      <c r="E15" s="4"/>
      <c r="F15" s="4"/>
    </row>
    <row r="16" spans="1:6" x14ac:dyDescent="0.3">
      <c r="A16" s="6" t="str">
        <f>Mensuel!A23</f>
        <v>Secrétaire</v>
      </c>
      <c r="B16" s="22">
        <f>Mensuel!B23</f>
        <v>0</v>
      </c>
      <c r="C16" s="22">
        <f>Mensuel!C23</f>
        <v>1200000</v>
      </c>
      <c r="D16" s="22">
        <f>Mensuel!D23</f>
        <v>1200000</v>
      </c>
      <c r="E16" s="22">
        <f>Mensuel!E23</f>
        <v>1200000</v>
      </c>
      <c r="F16" s="22">
        <f>Mensuel!F23</f>
        <v>3600000</v>
      </c>
    </row>
    <row r="17" spans="1:6" x14ac:dyDescent="0.3">
      <c r="A17" s="6" t="str">
        <f>Mensuel!A24</f>
        <v>Infrastructure technique</v>
      </c>
      <c r="B17" s="22">
        <f>Mensuel!B24</f>
        <v>0</v>
      </c>
      <c r="C17" s="22">
        <f>Mensuel!C24</f>
        <v>900000</v>
      </c>
      <c r="D17" s="22">
        <f>Mensuel!D24</f>
        <v>900000</v>
      </c>
      <c r="E17" s="22">
        <f>Mensuel!E24</f>
        <v>900000</v>
      </c>
      <c r="F17" s="22">
        <f>Mensuel!F24</f>
        <v>2700000</v>
      </c>
    </row>
    <row r="18" spans="1:6" x14ac:dyDescent="0.3">
      <c r="A18" s="6" t="str">
        <f>Mensuel!A25</f>
        <v>Développeur (dès le mois indiqué dans les hypothèses)</v>
      </c>
      <c r="B18" s="22">
        <f>Mensuel!B25</f>
        <v>0</v>
      </c>
      <c r="C18" s="22">
        <f>Mensuel!C25</f>
        <v>0</v>
      </c>
      <c r="D18" s="22">
        <f>Mensuel!D25</f>
        <v>2400000</v>
      </c>
      <c r="E18" s="22">
        <f>Mensuel!E25</f>
        <v>2400000</v>
      </c>
      <c r="F18" s="22">
        <f>Mensuel!F25</f>
        <v>4800000</v>
      </c>
    </row>
    <row r="19" spans="1:6" x14ac:dyDescent="0.3">
      <c r="A19" s="6" t="str">
        <f>Mensuel!A26</f>
        <v>Outil de développement (Claude Code, mois 1 à 12)</v>
      </c>
      <c r="B19" s="22">
        <f>Mensuel!B26</f>
        <v>0</v>
      </c>
      <c r="C19" s="22">
        <f>Mensuel!C26</f>
        <v>900000</v>
      </c>
      <c r="D19" s="22">
        <f>Mensuel!D26</f>
        <v>0</v>
      </c>
      <c r="E19" s="22">
        <f>Mensuel!E26</f>
        <v>0</v>
      </c>
      <c r="F19" s="22">
        <f>Mensuel!F26</f>
        <v>900000</v>
      </c>
    </row>
    <row r="20" spans="1:6" x14ac:dyDescent="0.3">
      <c r="A20" s="6" t="str">
        <f>Mensuel!A27</f>
        <v>Électricité et eau</v>
      </c>
      <c r="B20" s="22">
        <f>Mensuel!B27</f>
        <v>0</v>
      </c>
      <c r="C20" s="22">
        <f>Mensuel!C27</f>
        <v>1200000</v>
      </c>
      <c r="D20" s="22">
        <f>Mensuel!D27</f>
        <v>1200000</v>
      </c>
      <c r="E20" s="22">
        <f>Mensuel!E27</f>
        <v>1200000</v>
      </c>
      <c r="F20" s="22">
        <f>Mensuel!F27</f>
        <v>3600000</v>
      </c>
    </row>
    <row r="21" spans="1:6" x14ac:dyDescent="0.3">
      <c r="A21" s="6" t="str">
        <f>Mensuel!A28</f>
        <v>Loyer du bureau de Cotonou</v>
      </c>
      <c r="B21" s="22">
        <f>Mensuel!B28</f>
        <v>0</v>
      </c>
      <c r="C21" s="22">
        <f>Mensuel!C28</f>
        <v>600000</v>
      </c>
      <c r="D21" s="22">
        <f>Mensuel!D28</f>
        <v>600000</v>
      </c>
      <c r="E21" s="22">
        <f>Mensuel!E28</f>
        <v>600000</v>
      </c>
      <c r="F21" s="22">
        <f>Mensuel!F28</f>
        <v>1800000</v>
      </c>
    </row>
    <row r="22" spans="1:6" x14ac:dyDescent="0.3">
      <c r="A22" s="6" t="str">
        <f>Mensuel!A29</f>
        <v>Assurance multirisque professionnelle</v>
      </c>
      <c r="B22" s="22">
        <f>Mensuel!B29</f>
        <v>0</v>
      </c>
      <c r="C22" s="22">
        <f>Mensuel!C29</f>
        <v>600000</v>
      </c>
      <c r="D22" s="22">
        <f>Mensuel!D29</f>
        <v>600000</v>
      </c>
      <c r="E22" s="22">
        <f>Mensuel!E29</f>
        <v>600000</v>
      </c>
      <c r="F22" s="22">
        <f>Mensuel!F29</f>
        <v>1800000</v>
      </c>
    </row>
    <row r="23" spans="1:6" x14ac:dyDescent="0.3">
      <c r="A23" s="6" t="str">
        <f>Mensuel!A30</f>
        <v>Comptable (par trimestre)</v>
      </c>
      <c r="B23" s="22">
        <f>Mensuel!B30</f>
        <v>0</v>
      </c>
      <c r="C23" s="22">
        <f>Mensuel!C30</f>
        <v>300000</v>
      </c>
      <c r="D23" s="22">
        <f>Mensuel!D30</f>
        <v>300000</v>
      </c>
      <c r="E23" s="22">
        <f>Mensuel!E30</f>
        <v>300000</v>
      </c>
      <c r="F23" s="22">
        <f>Mensuel!F30</f>
        <v>900000</v>
      </c>
    </row>
    <row r="24" spans="1:6" x14ac:dyDescent="0.3">
      <c r="A24" s="6" t="str">
        <f>Mensuel!A31</f>
        <v>Juriste (par trimestre)</v>
      </c>
      <c r="B24" s="22">
        <f>Mensuel!B31</f>
        <v>0</v>
      </c>
      <c r="C24" s="22">
        <f>Mensuel!C31</f>
        <v>200000</v>
      </c>
      <c r="D24" s="22">
        <f>Mensuel!D31</f>
        <v>200000</v>
      </c>
      <c r="E24" s="22">
        <f>Mensuel!E31</f>
        <v>200000</v>
      </c>
      <c r="F24" s="22">
        <f>Mensuel!F31</f>
        <v>600000</v>
      </c>
    </row>
    <row r="25" spans="1:6" x14ac:dyDescent="0.3">
      <c r="A25" s="6" t="str">
        <f>Mensuel!A32</f>
        <v>Promotion de lancement</v>
      </c>
      <c r="B25" s="22">
        <f>Mensuel!B32</f>
        <v>0</v>
      </c>
      <c r="C25" s="22">
        <f>Mensuel!C32</f>
        <v>600000</v>
      </c>
      <c r="D25" s="22">
        <f>Mensuel!D32</f>
        <v>0</v>
      </c>
      <c r="E25" s="22">
        <f>Mensuel!E32</f>
        <v>0</v>
      </c>
      <c r="F25" s="22">
        <f>Mensuel!F32</f>
        <v>600000</v>
      </c>
    </row>
    <row r="26" spans="1:6" x14ac:dyDescent="0.3">
      <c r="A26" s="6" t="str">
        <f>Mensuel!A33</f>
        <v>Responsable des opérations (3 % du volume, plafonné)</v>
      </c>
      <c r="B26" s="22">
        <f>Mensuel!B33</f>
        <v>0</v>
      </c>
      <c r="C26" s="22">
        <f>Mensuel!C33</f>
        <v>1368120</v>
      </c>
      <c r="D26" s="22">
        <f>Mensuel!D33</f>
        <v>1368120</v>
      </c>
      <c r="E26" s="22">
        <f>Mensuel!E33</f>
        <v>1368120</v>
      </c>
      <c r="F26" s="22">
        <f>Mensuel!F33</f>
        <v>4104360</v>
      </c>
    </row>
    <row r="27" spans="1:6" x14ac:dyDescent="0.3">
      <c r="A27" s="6" t="str">
        <f>Mensuel!A34</f>
        <v>Renouvellement ANATT (mois 13 et 25)</v>
      </c>
      <c r="B27" s="22">
        <f>Mensuel!B34</f>
        <v>0</v>
      </c>
      <c r="C27" s="22">
        <f>Mensuel!C34</f>
        <v>0</v>
      </c>
      <c r="D27" s="22">
        <f>Mensuel!D34</f>
        <v>280000</v>
      </c>
      <c r="E27" s="22">
        <f>Mensuel!E34</f>
        <v>280000</v>
      </c>
      <c r="F27" s="22">
        <f>Mensuel!F34</f>
        <v>560000</v>
      </c>
    </row>
    <row r="28" spans="1:6" x14ac:dyDescent="0.3">
      <c r="A28" s="6" t="str">
        <f>Mensuel!A35</f>
        <v>Impôt minimum sur les sociétés (mois 16 et 28)</v>
      </c>
      <c r="B28" s="22">
        <f>Mensuel!B35</f>
        <v>0</v>
      </c>
      <c r="C28" s="22">
        <f>Mensuel!C35</f>
        <v>0</v>
      </c>
      <c r="D28" s="22">
        <f>Mensuel!D35</f>
        <v>254000</v>
      </c>
      <c r="E28" s="22">
        <f>Mensuel!E35</f>
        <v>254000</v>
      </c>
      <c r="F28" s="22">
        <f>Mensuel!F35</f>
        <v>508000</v>
      </c>
    </row>
    <row r="29" spans="1:6" x14ac:dyDescent="0.3">
      <c r="A29" s="6" t="str">
        <f>Mensuel!A36</f>
        <v>Patente (mois 13 et 25)</v>
      </c>
      <c r="B29" s="22">
        <f>Mensuel!B36</f>
        <v>0</v>
      </c>
      <c r="C29" s="22">
        <f>Mensuel!C36</f>
        <v>0</v>
      </c>
      <c r="D29" s="22">
        <f>Mensuel!D36</f>
        <v>172000</v>
      </c>
      <c r="E29" s="22">
        <f>Mensuel!E36</f>
        <v>172000</v>
      </c>
      <c r="F29" s="22">
        <f>Mensuel!F36</f>
        <v>344000</v>
      </c>
    </row>
    <row r="30" spans="1:6" x14ac:dyDescent="0.3">
      <c r="A30" s="6" t="str">
        <f>Mensuel!A37</f>
        <v>Avance remboursée aux propriétaires des voitures (mois 13)</v>
      </c>
      <c r="B30" s="22">
        <f>Mensuel!B37</f>
        <v>0</v>
      </c>
      <c r="C30" s="22">
        <f>Mensuel!C37</f>
        <v>0</v>
      </c>
      <c r="D30" s="22">
        <f>Mensuel!D37</f>
        <v>900000</v>
      </c>
      <c r="E30" s="22">
        <f>Mensuel!E37</f>
        <v>0</v>
      </c>
      <c r="F30" s="22">
        <f>Mensuel!F37</f>
        <v>900000</v>
      </c>
    </row>
    <row r="31" spans="1:6" x14ac:dyDescent="0.3">
      <c r="A31" s="6" t="str">
        <f>Mensuel!A38</f>
        <v>Épargne NSIA : postes vacants (TamCar paie la cotisation)</v>
      </c>
      <c r="B31" s="22">
        <f>Mensuel!B38</f>
        <v>0</v>
      </c>
      <c r="C31" s="22">
        <f>Mensuel!C38</f>
        <v>78750</v>
      </c>
      <c r="D31" s="22">
        <f>Mensuel!D38</f>
        <v>78750</v>
      </c>
      <c r="E31" s="22">
        <f>Mensuel!E38</f>
        <v>78750</v>
      </c>
      <c r="F31" s="22">
        <f>Mensuel!F38</f>
        <v>236250</v>
      </c>
    </row>
    <row r="32" spans="1:6" x14ac:dyDescent="0.3">
      <c r="A32" s="10" t="s">
        <v>237</v>
      </c>
      <c r="B32" s="24">
        <f>Mensuel!B39</f>
        <v>0</v>
      </c>
      <c r="C32" s="24">
        <f>Mensuel!C39</f>
        <v>7946870</v>
      </c>
      <c r="D32" s="24">
        <f>Mensuel!D39</f>
        <v>10452870</v>
      </c>
      <c r="E32" s="24">
        <f>Mensuel!E39</f>
        <v>9552870</v>
      </c>
      <c r="F32" s="24">
        <f>Mensuel!F39</f>
        <v>27952610</v>
      </c>
    </row>
    <row r="34" spans="1:6" x14ac:dyDescent="0.3">
      <c r="A34" s="4" t="s">
        <v>238</v>
      </c>
      <c r="B34" s="4"/>
      <c r="C34" s="4"/>
      <c r="D34" s="4"/>
      <c r="E34" s="4"/>
      <c r="F34" s="4"/>
    </row>
    <row r="35" spans="1:6" x14ac:dyDescent="0.3">
      <c r="A35" s="6" t="str">
        <f>Mensuel!A42</f>
        <v>Tricycles : acompte à l'achat</v>
      </c>
      <c r="B35" s="22">
        <f>Mensuel!B42</f>
        <v>0</v>
      </c>
      <c r="C35" s="22">
        <f>Mensuel!C42</f>
        <v>465000</v>
      </c>
      <c r="D35" s="22">
        <f>Mensuel!D42</f>
        <v>0</v>
      </c>
      <c r="E35" s="22">
        <f>Mensuel!E42</f>
        <v>0</v>
      </c>
      <c r="F35" s="22">
        <f>Mensuel!F42</f>
        <v>465000</v>
      </c>
    </row>
    <row r="36" spans="1:6" x14ac:dyDescent="0.3">
      <c r="A36" s="6" t="str">
        <f>Mensuel!A43</f>
        <v>Tricycles : mensualités du solde</v>
      </c>
      <c r="B36" s="22">
        <f>Mensuel!B43</f>
        <v>0</v>
      </c>
      <c r="C36" s="22">
        <f>Mensuel!C43</f>
        <v>994583.33333333314</v>
      </c>
      <c r="D36" s="22">
        <f>Mensuel!D43</f>
        <v>90416.666666666672</v>
      </c>
      <c r="E36" s="22">
        <f>Mensuel!E43</f>
        <v>0</v>
      </c>
      <c r="F36" s="22">
        <f>Mensuel!F43</f>
        <v>1084999.9999999998</v>
      </c>
    </row>
    <row r="37" spans="1:6" x14ac:dyDescent="0.3">
      <c r="A37" s="6" t="str">
        <f>Mensuel!A44</f>
        <v>Motos : achat comptant</v>
      </c>
      <c r="B37" s="22">
        <f>Mensuel!B44</f>
        <v>0</v>
      </c>
      <c r="C37" s="22">
        <f>Mensuel!C44</f>
        <v>2375000</v>
      </c>
      <c r="D37" s="22">
        <f>Mensuel!D44</f>
        <v>0</v>
      </c>
      <c r="E37" s="22">
        <f>Mensuel!E44</f>
        <v>0</v>
      </c>
      <c r="F37" s="22">
        <f>Mensuel!F44</f>
        <v>2375000</v>
      </c>
    </row>
    <row r="38" spans="1:6" x14ac:dyDescent="0.3">
      <c r="A38" s="10" t="s">
        <v>239</v>
      </c>
      <c r="B38" s="24">
        <f>Mensuel!B45</f>
        <v>0</v>
      </c>
      <c r="C38" s="24">
        <f>Mensuel!C45</f>
        <v>3834583.3333333316</v>
      </c>
      <c r="D38" s="24">
        <f>Mensuel!D45</f>
        <v>90416.666666666672</v>
      </c>
      <c r="E38" s="24">
        <f>Mensuel!E45</f>
        <v>0</v>
      </c>
      <c r="F38" s="24">
        <f>Mensuel!F45</f>
        <v>3924999.9999999981</v>
      </c>
    </row>
    <row r="40" spans="1:6" x14ac:dyDescent="0.3">
      <c r="A40" s="4" t="s">
        <v>240</v>
      </c>
      <c r="B40" s="4"/>
      <c r="C40" s="4"/>
      <c r="D40" s="4"/>
      <c r="E40" s="4"/>
      <c r="F40" s="4"/>
    </row>
    <row r="41" spans="1:6" x14ac:dyDescent="0.3">
      <c r="A41" s="6" t="str">
        <f>Mensuel!A48</f>
        <v>Assurance + droit taxi + visite technique : tricycles (achat, puis anniversaires)</v>
      </c>
      <c r="B41" s="22">
        <f>Mensuel!B48</f>
        <v>0</v>
      </c>
      <c r="C41" s="22">
        <f>Mensuel!C48</f>
        <v>75000</v>
      </c>
      <c r="D41" s="22">
        <f>Mensuel!D48</f>
        <v>75000</v>
      </c>
      <c r="E41" s="22">
        <f>Mensuel!E48</f>
        <v>75000</v>
      </c>
      <c r="F41" s="22">
        <f>Mensuel!F48</f>
        <v>225000</v>
      </c>
    </row>
    <row r="42" spans="1:6" x14ac:dyDescent="0.3">
      <c r="A42" s="6" t="str">
        <f>Mensuel!A49</f>
        <v>Assurance + droit taxi + visite technique : motos (à l'achat)</v>
      </c>
      <c r="B42" s="22">
        <f>Mensuel!B49</f>
        <v>0</v>
      </c>
      <c r="C42" s="22">
        <f>Mensuel!C49</f>
        <v>250000</v>
      </c>
      <c r="D42" s="22">
        <f>Mensuel!D49</f>
        <v>0</v>
      </c>
      <c r="E42" s="22">
        <f>Mensuel!E49</f>
        <v>0</v>
      </c>
      <c r="F42" s="22">
        <f>Mensuel!F49</f>
        <v>250000</v>
      </c>
    </row>
    <row r="43" spans="1:6" x14ac:dyDescent="0.3">
      <c r="A43" s="6" t="str">
        <f>Mensuel!A50</f>
        <v>Trackers GPS : tricycles (1re année, puis renouvellement)</v>
      </c>
      <c r="B43" s="22">
        <f>Mensuel!B50</f>
        <v>0</v>
      </c>
      <c r="C43" s="22">
        <f>Mensuel!C50</f>
        <v>139000</v>
      </c>
      <c r="D43" s="22">
        <f>Mensuel!D50</f>
        <v>89000</v>
      </c>
      <c r="E43" s="22">
        <f>Mensuel!E50</f>
        <v>89000</v>
      </c>
      <c r="F43" s="22">
        <f>Mensuel!F50</f>
        <v>317000</v>
      </c>
    </row>
    <row r="44" spans="1:6" x14ac:dyDescent="0.3">
      <c r="A44" s="6" t="str">
        <f>Mensuel!A51</f>
        <v>Trackers GPS : motos (à l'achat)</v>
      </c>
      <c r="B44" s="22">
        <f>Mensuel!B51</f>
        <v>0</v>
      </c>
      <c r="C44" s="22">
        <f>Mensuel!C51</f>
        <v>695000</v>
      </c>
      <c r="D44" s="22">
        <f>Mensuel!D51</f>
        <v>0</v>
      </c>
      <c r="E44" s="22">
        <f>Mensuel!E51</f>
        <v>0</v>
      </c>
      <c r="F44" s="22">
        <f>Mensuel!F51</f>
        <v>695000</v>
      </c>
    </row>
    <row r="45" spans="1:6" x14ac:dyDescent="0.3">
      <c r="A45" s="10" t="s">
        <v>241</v>
      </c>
      <c r="B45" s="24">
        <f>Mensuel!B52</f>
        <v>0</v>
      </c>
      <c r="C45" s="24">
        <f>Mensuel!C52</f>
        <v>1159000</v>
      </c>
      <c r="D45" s="24">
        <f>Mensuel!D52</f>
        <v>164000</v>
      </c>
      <c r="E45" s="24">
        <f>Mensuel!E52</f>
        <v>164000</v>
      </c>
      <c r="F45" s="24">
        <f>Mensuel!F52</f>
        <v>1487000</v>
      </c>
    </row>
    <row r="47" spans="1:6" x14ac:dyDescent="0.3">
      <c r="A47" s="10" t="s">
        <v>242</v>
      </c>
      <c r="B47" s="24">
        <f>Mensuel!B54</f>
        <v>4550000</v>
      </c>
      <c r="C47" s="24">
        <f>Mensuel!C54</f>
        <v>12940453.33333333</v>
      </c>
      <c r="D47" s="24">
        <f>Mensuel!D54</f>
        <v>10707286.666666666</v>
      </c>
      <c r="E47" s="24">
        <f>Mensuel!E54</f>
        <v>9716870</v>
      </c>
      <c r="F47" s="24">
        <f>Mensuel!F54</f>
        <v>37914609.999999993</v>
      </c>
    </row>
    <row r="48" spans="1:6" x14ac:dyDescent="0.3">
      <c r="A48" s="2" t="s">
        <v>243</v>
      </c>
      <c r="B48" s="31">
        <f>B13+B32+B38+B45-B47</f>
        <v>0</v>
      </c>
      <c r="C48" s="31">
        <f>C13+C32+C38+C45-C47</f>
        <v>0</v>
      </c>
      <c r="D48" s="31">
        <f>D13+D32+D38+D45-D47</f>
        <v>0</v>
      </c>
      <c r="E48" s="31">
        <f>E13+E32+E38+E45-E47</f>
        <v>0</v>
      </c>
      <c r="F48" s="31">
        <f>F13+F32+F38+F45-F47</f>
        <v>0</v>
      </c>
    </row>
    <row r="50" spans="1:6" x14ac:dyDescent="0.3">
      <c r="A50" s="4" t="s">
        <v>244</v>
      </c>
      <c r="B50" s="4"/>
      <c r="C50" s="4"/>
      <c r="D50" s="4"/>
      <c r="E50" s="4"/>
      <c r="F50" s="4"/>
    </row>
    <row r="51" spans="1:6" x14ac:dyDescent="0.3">
      <c r="A51" s="6" t="s">
        <v>245</v>
      </c>
      <c r="B51" s="22">
        <f>Mensuel!B70</f>
        <v>0</v>
      </c>
      <c r="C51" s="22">
        <f>Mensuel!C70</f>
        <v>516666.66666666669</v>
      </c>
      <c r="D51" s="22">
        <f>Mensuel!D70</f>
        <v>516666.66666666669</v>
      </c>
      <c r="E51" s="22">
        <f>Mensuel!E70</f>
        <v>516666.66666666669</v>
      </c>
      <c r="F51" s="22">
        <f>Mensuel!F70</f>
        <v>1550000</v>
      </c>
    </row>
    <row r="52" spans="1:6" x14ac:dyDescent="0.3">
      <c r="A52" s="6" t="s">
        <v>246</v>
      </c>
      <c r="B52" s="22">
        <f>Mensuel!B71</f>
        <v>0</v>
      </c>
      <c r="C52" s="22">
        <f>Mensuel!C71</f>
        <v>2375000</v>
      </c>
      <c r="D52" s="22">
        <f>Mensuel!D71</f>
        <v>0</v>
      </c>
      <c r="E52" s="22">
        <f>Mensuel!E71</f>
        <v>0</v>
      </c>
      <c r="F52" s="22">
        <f>Mensuel!F71</f>
        <v>2375000</v>
      </c>
    </row>
    <row r="53" spans="1:6" x14ac:dyDescent="0.3">
      <c r="A53" s="6" t="s">
        <v>247</v>
      </c>
      <c r="B53" s="22">
        <f>Mensuel!B72</f>
        <v>0</v>
      </c>
      <c r="C53" s="22">
        <f>Mensuel!C72</f>
        <v>333333.33333333326</v>
      </c>
      <c r="D53" s="22">
        <f>Mensuel!D72</f>
        <v>333333.33333333326</v>
      </c>
      <c r="E53" s="22">
        <f>Mensuel!E72</f>
        <v>333333.33333333326</v>
      </c>
      <c r="F53" s="22">
        <f>Mensuel!F72</f>
        <v>999999.99999999977</v>
      </c>
    </row>
    <row r="54" spans="1:6" x14ac:dyDescent="0.3">
      <c r="A54" s="6" t="s">
        <v>248</v>
      </c>
      <c r="B54" s="22">
        <f>Mensuel!B74</f>
        <v>3050000</v>
      </c>
      <c r="C54" s="22">
        <f>Mensuel!C74</f>
        <v>0</v>
      </c>
      <c r="D54" s="22">
        <f>Mensuel!D74</f>
        <v>0</v>
      </c>
      <c r="E54" s="22">
        <f>Mensuel!E74</f>
        <v>0</v>
      </c>
      <c r="F54" s="22">
        <f>Mensuel!F74</f>
        <v>3050000</v>
      </c>
    </row>
    <row r="55" spans="1:6" x14ac:dyDescent="0.3">
      <c r="A55" s="6" t="s">
        <v>249</v>
      </c>
      <c r="B55" s="22">
        <f>Mensuel!B75</f>
        <v>0</v>
      </c>
      <c r="C55" s="22">
        <f>Mensuel!C75</f>
        <v>95000</v>
      </c>
      <c r="D55" s="22">
        <f>Mensuel!D75</f>
        <v>190000</v>
      </c>
      <c r="E55" s="22">
        <f>Mensuel!E75</f>
        <v>190000</v>
      </c>
      <c r="F55" s="22">
        <f>Mensuel!F75</f>
        <v>475000</v>
      </c>
    </row>
    <row r="56" spans="1:6" x14ac:dyDescent="0.3">
      <c r="A56" s="6" t="s">
        <v>250</v>
      </c>
      <c r="B56" s="22">
        <f>Mensuel!B76</f>
        <v>0</v>
      </c>
      <c r="C56" s="22">
        <f>Mensuel!C76</f>
        <v>600000</v>
      </c>
      <c r="D56" s="22">
        <f>Mensuel!D76</f>
        <v>600000</v>
      </c>
      <c r="E56" s="22">
        <f>Mensuel!E76</f>
        <v>600000</v>
      </c>
      <c r="F56" s="22">
        <f>Mensuel!F76</f>
        <v>1800000</v>
      </c>
    </row>
    <row r="58" spans="1:6" x14ac:dyDescent="0.3">
      <c r="A58" s="2" t="s">
        <v>251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6"/>
  <sheetViews>
    <sheetView showGridLines="0" workbookViewId="0">
      <pane xSplit="1" ySplit="3" topLeftCell="B4" activePane="bottomRight" state="frozen"/>
      <selection pane="topRight"/>
      <selection pane="bottomLeft"/>
      <selection pane="bottomRight"/>
    </sheetView>
  </sheetViews>
  <sheetFormatPr baseColWidth="10" defaultColWidth="8.88671875" defaultRowHeight="14.4" x14ac:dyDescent="0.3"/>
  <cols>
    <col min="1" max="1" width="64" customWidth="1"/>
    <col min="2" max="3" width="18" customWidth="1"/>
    <col min="4" max="5" width="22" customWidth="1"/>
    <col min="6" max="6" width="18" customWidth="1"/>
  </cols>
  <sheetData>
    <row r="1" spans="1:6" ht="17.399999999999999" x14ac:dyDescent="0.3">
      <c r="A1" s="1" t="s">
        <v>252</v>
      </c>
    </row>
    <row r="2" spans="1:6" x14ac:dyDescent="0.3">
      <c r="A2" s="2" t="s">
        <v>253</v>
      </c>
    </row>
    <row r="4" spans="1:6" x14ac:dyDescent="0.3">
      <c r="A4" s="4" t="s">
        <v>254</v>
      </c>
      <c r="B4" s="4"/>
      <c r="C4" s="4"/>
      <c r="D4" s="4"/>
      <c r="E4" s="4"/>
      <c r="F4" s="4"/>
    </row>
    <row r="5" spans="1:6" ht="30" customHeight="1" x14ac:dyDescent="0.3">
      <c r="A5" s="27" t="s">
        <v>170</v>
      </c>
      <c r="B5" s="21" t="s">
        <v>24</v>
      </c>
      <c r="C5" s="21" t="s">
        <v>25</v>
      </c>
      <c r="D5" s="21" t="s">
        <v>26</v>
      </c>
      <c r="E5" s="21" t="s">
        <v>27</v>
      </c>
      <c r="F5" s="21" t="s">
        <v>28</v>
      </c>
    </row>
    <row r="6" spans="1:6" x14ac:dyDescent="0.3">
      <c r="A6" s="6" t="s">
        <v>8</v>
      </c>
      <c r="B6" s="22">
        <f>Mensuel!C59</f>
        <v>3737500</v>
      </c>
      <c r="C6" s="22">
        <f>Mensuel!C58</f>
        <v>1320583.3333333335</v>
      </c>
      <c r="D6" s="22">
        <f>Mensuel!C60</f>
        <v>4951440</v>
      </c>
      <c r="E6" s="22">
        <f>Mensuel!C61</f>
        <v>3094650</v>
      </c>
      <c r="F6" s="25">
        <f>SUM(B6:E6)</f>
        <v>13104173.333333334</v>
      </c>
    </row>
    <row r="7" spans="1:6" x14ac:dyDescent="0.3">
      <c r="A7" s="6" t="s">
        <v>255</v>
      </c>
      <c r="B7" s="22">
        <f>-Mensuel!C71</f>
        <v>-2375000</v>
      </c>
      <c r="C7" s="22">
        <f>-Mensuel!C70</f>
        <v>-516666.66666666669</v>
      </c>
      <c r="D7" s="22">
        <v>0</v>
      </c>
      <c r="E7" s="22">
        <v>0</v>
      </c>
      <c r="F7" s="22">
        <f>SUM(B7:E7)</f>
        <v>-2891666.6666666665</v>
      </c>
    </row>
    <row r="8" spans="1:6" x14ac:dyDescent="0.3">
      <c r="A8" s="6" t="s">
        <v>256</v>
      </c>
      <c r="B8" s="22">
        <f>-Mensuel!C49</f>
        <v>-250000</v>
      </c>
      <c r="C8" s="22">
        <f>-Mensuel!C48</f>
        <v>-75000</v>
      </c>
      <c r="D8" s="22">
        <v>0</v>
      </c>
      <c r="E8" s="22">
        <v>0</v>
      </c>
      <c r="F8" s="22">
        <f>SUM(B8:E8)</f>
        <v>-325000</v>
      </c>
    </row>
    <row r="9" spans="1:6" x14ac:dyDescent="0.3">
      <c r="A9" s="6" t="s">
        <v>257</v>
      </c>
      <c r="B9" s="22">
        <f>-Mensuel!C51</f>
        <v>-695000</v>
      </c>
      <c r="C9" s="22">
        <f>-Mensuel!C50</f>
        <v>-139000</v>
      </c>
      <c r="D9" s="22">
        <v>0</v>
      </c>
      <c r="E9" s="22">
        <v>0</v>
      </c>
      <c r="F9" s="22">
        <f>SUM(B9:E9)</f>
        <v>-834000</v>
      </c>
    </row>
    <row r="10" spans="1:6" x14ac:dyDescent="0.3">
      <c r="A10" s="6" t="s">
        <v>258</v>
      </c>
      <c r="B10" s="22">
        <f>-Mensuel!C33*IF(Mensuel!C84=0,0,Mensuel!C81/Mensuel!C84)</f>
        <v>-195000.00000000003</v>
      </c>
      <c r="C10" s="22">
        <f>-Mensuel!C33*IF(Mensuel!C84=0,0,Mensuel!C80/Mensuel!C84)</f>
        <v>-78000</v>
      </c>
      <c r="D10" s="22">
        <f>-Mensuel!C33*IF(Mensuel!C84=0,0,Mensuel!C82/Mensuel!C84)</f>
        <v>-673920</v>
      </c>
      <c r="E10" s="22">
        <f>-Mensuel!C33*IF(Mensuel!C84=0,0,Mensuel!C83/Mensuel!C84)</f>
        <v>-421200</v>
      </c>
      <c r="F10" s="22">
        <f>SUM(B10:E10)</f>
        <v>-1368120</v>
      </c>
    </row>
    <row r="11" spans="1:6" x14ac:dyDescent="0.3">
      <c r="A11" s="10" t="s">
        <v>259</v>
      </c>
      <c r="B11" s="24">
        <f>SUM(B6:B10)</f>
        <v>222499.99999999997</v>
      </c>
      <c r="C11" s="24">
        <f>SUM(C6:C10)</f>
        <v>511916.66666666674</v>
      </c>
      <c r="D11" s="24">
        <f>SUM(D6:D10)</f>
        <v>4277520</v>
      </c>
      <c r="E11" s="24">
        <f>SUM(E6:E10)</f>
        <v>2673450</v>
      </c>
      <c r="F11" s="24">
        <f>SUM(F6:F10)</f>
        <v>7685386.6666666679</v>
      </c>
    </row>
    <row r="12" spans="1:6" x14ac:dyDescent="0.3">
      <c r="A12" s="6" t="s">
        <v>260</v>
      </c>
      <c r="B12" s="28">
        <f>IF(B6=0,0,B11/B6)</f>
        <v>5.953177257525083E-2</v>
      </c>
      <c r="C12" s="28">
        <f>IF(C6=0,0,C11/C6)</f>
        <v>0.38764434908815548</v>
      </c>
      <c r="D12" s="28">
        <f>IF(D6=0,0,D11/D6)</f>
        <v>0.86389413988657848</v>
      </c>
      <c r="E12" s="28">
        <f>IF(E6=0,0,E11/E6)</f>
        <v>0.86389413988657848</v>
      </c>
      <c r="F12" s="28">
        <f>IF(F6=0,0,F11/F6)</f>
        <v>0.5864838987681279</v>
      </c>
    </row>
    <row r="13" spans="1:6" x14ac:dyDescent="0.3">
      <c r="A13" s="6" t="s">
        <v>261</v>
      </c>
      <c r="B13" s="22">
        <f>-(Mensuel!C39-Mensuel!C33)*IF($F6=0,0,B6/$F6)</f>
        <v>-1876354.768786127</v>
      </c>
      <c r="C13" s="22">
        <f>-(Mensuel!C39-Mensuel!C33)*IF($F6=0,0,C6/$F6)</f>
        <v>-662978.68497109832</v>
      </c>
      <c r="D13" s="22">
        <f>-(Mensuel!C39-Mensuel!C33)*IF($F6=0,0,D6/$F6)</f>
        <v>-2485794.7976878611</v>
      </c>
      <c r="E13" s="22">
        <f>-(Mensuel!C39-Mensuel!C33)*IF($F6=0,0,E6/$F6)</f>
        <v>-1553621.7485549133</v>
      </c>
      <c r="F13" s="22">
        <f>SUM(B13:E13)</f>
        <v>-6578750</v>
      </c>
    </row>
    <row r="14" spans="1:6" x14ac:dyDescent="0.3">
      <c r="A14" s="10" t="s">
        <v>262</v>
      </c>
      <c r="B14" s="24">
        <f>B11+B13</f>
        <v>-1653854.768786127</v>
      </c>
      <c r="C14" s="24">
        <f>C11+C13</f>
        <v>-151062.01830443158</v>
      </c>
      <c r="D14" s="24">
        <f>D11+D13</f>
        <v>1791725.2023121389</v>
      </c>
      <c r="E14" s="24">
        <f>E11+E13</f>
        <v>1119828.2514450867</v>
      </c>
      <c r="F14" s="24">
        <f>F11+F13</f>
        <v>1106636.6666666679</v>
      </c>
    </row>
    <row r="15" spans="1:6" x14ac:dyDescent="0.3">
      <c r="A15" s="6" t="s">
        <v>263</v>
      </c>
      <c r="B15" s="32">
        <f>AVERAGE(Mensuel!H10:S10)</f>
        <v>5</v>
      </c>
      <c r="C15" s="32">
        <f>AVERAGE(Mensuel!H9:S9)</f>
        <v>1</v>
      </c>
      <c r="D15" s="32">
        <f>Hypothèses!$B$57</f>
        <v>6</v>
      </c>
      <c r="E15" s="32">
        <f>Hypothèses!$B$58</f>
        <v>3</v>
      </c>
      <c r="F15" s="32">
        <f>SUM(B15:E15)</f>
        <v>15</v>
      </c>
    </row>
    <row r="16" spans="1:6" x14ac:dyDescent="0.3">
      <c r="A16" s="6" t="s">
        <v>264</v>
      </c>
      <c r="B16" s="22">
        <f>IF(B15=0,0,B11/(B15*Hypothèses!$B$47*12))</f>
        <v>142.62820512820511</v>
      </c>
      <c r="C16" s="22">
        <f>IF(C15=0,0,C11/(C15*Hypothèses!$B$47*12))</f>
        <v>1640.7585470085473</v>
      </c>
      <c r="D16" s="22">
        <f>IF(D15=0,0,D11/(D15*Hypothèses!$B$47*12))</f>
        <v>2285</v>
      </c>
      <c r="E16" s="22">
        <f>IF(E15=0,0,E11/(E15*Hypothèses!$B$47*12))</f>
        <v>2856.25</v>
      </c>
      <c r="F16" s="22">
        <f>IF(F15=0,0,F11/(F15*Hypothèses!$B$47*12))</f>
        <v>1642.1766381766383</v>
      </c>
    </row>
    <row r="17" spans="1:6" x14ac:dyDescent="0.3">
      <c r="A17" s="6" t="s">
        <v>265</v>
      </c>
      <c r="B17" s="22">
        <f>IF(B15=0,0,B14/(B15*Hypothèses!$B$47*12))</f>
        <v>-1060.1633133244404</v>
      </c>
      <c r="C17" s="22">
        <f>IF(C15=0,0,C14/(C15*Hypothèses!$B$47*12))</f>
        <v>-484.17313559112688</v>
      </c>
      <c r="D17" s="22">
        <f>IF(D15=0,0,D14/(D15*Hypothèses!$B$47*12))</f>
        <v>957.11816362827926</v>
      </c>
      <c r="E17" s="22">
        <f>IF(E15=0,0,E14/(E15*Hypothèses!$B$47*12))</f>
        <v>1196.397704535349</v>
      </c>
      <c r="F17" s="22">
        <f>IF(F15=0,0,F14/(F15*Hypothèses!$B$47*12))</f>
        <v>236.46082621082647</v>
      </c>
    </row>
    <row r="19" spans="1:6" x14ac:dyDescent="0.3">
      <c r="A19" s="4" t="s">
        <v>266</v>
      </c>
      <c r="B19" s="4"/>
      <c r="C19" s="4"/>
      <c r="D19" s="4"/>
      <c r="E19" s="4"/>
      <c r="F19" s="4"/>
    </row>
    <row r="20" spans="1:6" ht="30" customHeight="1" x14ac:dyDescent="0.3">
      <c r="A20" s="27" t="s">
        <v>170</v>
      </c>
      <c r="B20" s="21" t="s">
        <v>24</v>
      </c>
      <c r="C20" s="21" t="s">
        <v>25</v>
      </c>
      <c r="D20" s="21" t="s">
        <v>26</v>
      </c>
      <c r="E20" s="21" t="s">
        <v>27</v>
      </c>
      <c r="F20" s="21" t="s">
        <v>28</v>
      </c>
    </row>
    <row r="21" spans="1:6" x14ac:dyDescent="0.3">
      <c r="A21" s="6" t="s">
        <v>8</v>
      </c>
      <c r="B21" s="22">
        <f>Mensuel!D59</f>
        <v>1300000</v>
      </c>
      <c r="C21" s="22">
        <f>Mensuel!D58</f>
        <v>1352000.0000000007</v>
      </c>
      <c r="D21" s="22">
        <f>Mensuel!D60</f>
        <v>4942080</v>
      </c>
      <c r="E21" s="22">
        <f>Mensuel!D61</f>
        <v>3088800</v>
      </c>
      <c r="F21" s="25">
        <f>SUM(B21:E21)</f>
        <v>10682880</v>
      </c>
    </row>
    <row r="22" spans="1:6" x14ac:dyDescent="0.3">
      <c r="A22" s="6" t="s">
        <v>255</v>
      </c>
      <c r="B22" s="22">
        <f>-Mensuel!D71</f>
        <v>0</v>
      </c>
      <c r="C22" s="22">
        <f>-Mensuel!D70</f>
        <v>-516666.66666666669</v>
      </c>
      <c r="D22" s="22">
        <v>0</v>
      </c>
      <c r="E22" s="22">
        <v>0</v>
      </c>
      <c r="F22" s="22">
        <f>SUM(B22:E22)</f>
        <v>-516666.66666666669</v>
      </c>
    </row>
    <row r="23" spans="1:6" x14ac:dyDescent="0.3">
      <c r="A23" s="6" t="s">
        <v>256</v>
      </c>
      <c r="B23" s="22">
        <f>-Mensuel!D49</f>
        <v>0</v>
      </c>
      <c r="C23" s="22">
        <f>-Mensuel!D48</f>
        <v>-75000</v>
      </c>
      <c r="D23" s="22">
        <v>0</v>
      </c>
      <c r="E23" s="22">
        <v>0</v>
      </c>
      <c r="F23" s="22">
        <f>SUM(B23:E23)</f>
        <v>-75000</v>
      </c>
    </row>
    <row r="24" spans="1:6" x14ac:dyDescent="0.3">
      <c r="A24" s="6" t="s">
        <v>257</v>
      </c>
      <c r="B24" s="22">
        <f>-Mensuel!D51</f>
        <v>0</v>
      </c>
      <c r="C24" s="22">
        <f>-Mensuel!D50</f>
        <v>-89000</v>
      </c>
      <c r="D24" s="22">
        <v>0</v>
      </c>
      <c r="E24" s="22">
        <v>0</v>
      </c>
      <c r="F24" s="22">
        <f>SUM(B24:E24)</f>
        <v>-89000</v>
      </c>
    </row>
    <row r="25" spans="1:6" x14ac:dyDescent="0.3">
      <c r="A25" s="6" t="s">
        <v>258</v>
      </c>
      <c r="B25" s="22">
        <f>-Mensuel!D33*IF(Mensuel!D84=0,0,Mensuel!D81/Mensuel!D84)</f>
        <v>-195000.00000000003</v>
      </c>
      <c r="C25" s="22">
        <f>-Mensuel!D33*IF(Mensuel!D84=0,0,Mensuel!D80/Mensuel!D84)</f>
        <v>-77999.999999999985</v>
      </c>
      <c r="D25" s="22">
        <f>-Mensuel!D33*IF(Mensuel!D84=0,0,Mensuel!D82/Mensuel!D84)</f>
        <v>-673919.99999999988</v>
      </c>
      <c r="E25" s="22">
        <f>-Mensuel!D33*IF(Mensuel!D84=0,0,Mensuel!D83/Mensuel!D84)</f>
        <v>-421199.99999999988</v>
      </c>
      <c r="F25" s="22">
        <f>SUM(B25:E25)</f>
        <v>-1368119.9999999998</v>
      </c>
    </row>
    <row r="26" spans="1:6" x14ac:dyDescent="0.3">
      <c r="A26" s="10" t="s">
        <v>259</v>
      </c>
      <c r="B26" s="24">
        <f>SUM(B21:B25)</f>
        <v>1105000</v>
      </c>
      <c r="C26" s="24">
        <f>SUM(C21:C25)</f>
        <v>593333.33333333395</v>
      </c>
      <c r="D26" s="24">
        <f>SUM(D21:D25)</f>
        <v>4268160</v>
      </c>
      <c r="E26" s="24">
        <f>SUM(E21:E25)</f>
        <v>2667600</v>
      </c>
      <c r="F26" s="24">
        <f>SUM(F21:F25)</f>
        <v>8634093.333333334</v>
      </c>
    </row>
    <row r="27" spans="1:6" x14ac:dyDescent="0.3">
      <c r="A27" s="6" t="s">
        <v>260</v>
      </c>
      <c r="B27" s="28">
        <f>IF(B21=0,0,B26/B21)</f>
        <v>0.85</v>
      </c>
      <c r="C27" s="28">
        <f>IF(C21=0,0,C26/C21)</f>
        <v>0.43885601577909295</v>
      </c>
      <c r="D27" s="28">
        <f>IF(D21=0,0,D26/D21)</f>
        <v>0.86363636363636365</v>
      </c>
      <c r="E27" s="28">
        <f>IF(E21=0,0,E26/E21)</f>
        <v>0.86363636363636365</v>
      </c>
      <c r="F27" s="28">
        <f>IF(F21=0,0,F26/F21)</f>
        <v>0.80821775900631043</v>
      </c>
    </row>
    <row r="28" spans="1:6" x14ac:dyDescent="0.3">
      <c r="A28" s="6" t="s">
        <v>261</v>
      </c>
      <c r="B28" s="22">
        <f>-(Mensuel!D39-Mensuel!D33)*IF($F21=0,0,B21/$F21)</f>
        <v>-1105523.5105140188</v>
      </c>
      <c r="C28" s="22">
        <f>-(Mensuel!D39-Mensuel!D33)*IF($F21=0,0,C21/$F21)</f>
        <v>-1149744.4509345801</v>
      </c>
      <c r="D28" s="22">
        <f>-(Mensuel!D39-Mensuel!D33)*IF($F21=0,0,D21/$F21)</f>
        <v>-4202758.1775700934</v>
      </c>
      <c r="E28" s="22">
        <f>-(Mensuel!D39-Mensuel!D33)*IF($F21=0,0,E21/$F21)</f>
        <v>-2626723.8609813084</v>
      </c>
      <c r="F28" s="22">
        <f>SUM(B28:E28)</f>
        <v>-9084750</v>
      </c>
    </row>
    <row r="29" spans="1:6" x14ac:dyDescent="0.3">
      <c r="A29" s="10" t="s">
        <v>262</v>
      </c>
      <c r="B29" s="24">
        <f>B26+B28</f>
        <v>-523.51051401882432</v>
      </c>
      <c r="C29" s="24">
        <f>C26+C28</f>
        <v>-556411.11760124611</v>
      </c>
      <c r="D29" s="24">
        <f>D26+D28</f>
        <v>65401.822429906577</v>
      </c>
      <c r="E29" s="24">
        <f>E26+E28</f>
        <v>40876.139018691611</v>
      </c>
      <c r="F29" s="24">
        <f>F26+F28</f>
        <v>-450656.66666666605</v>
      </c>
    </row>
    <row r="30" spans="1:6" x14ac:dyDescent="0.3">
      <c r="A30" s="6" t="s">
        <v>263</v>
      </c>
      <c r="B30" s="32">
        <f>AVERAGE(Mensuel!T10:AE10)</f>
        <v>5</v>
      </c>
      <c r="C30" s="32">
        <f>AVERAGE(Mensuel!T9:AE9)</f>
        <v>1</v>
      </c>
      <c r="D30" s="32">
        <f>Hypothèses!$B$57</f>
        <v>6</v>
      </c>
      <c r="E30" s="32">
        <f>Hypothèses!$B$58</f>
        <v>3</v>
      </c>
      <c r="F30" s="32">
        <f>SUM(B30:E30)</f>
        <v>15</v>
      </c>
    </row>
    <row r="31" spans="1:6" x14ac:dyDescent="0.3">
      <c r="A31" s="6" t="s">
        <v>264</v>
      </c>
      <c r="B31" s="22">
        <f>IF(B30=0,0,B26/(B30*Hypothèses!$B$47*12))</f>
        <v>708.33333333333337</v>
      </c>
      <c r="C31" s="22">
        <f>IF(C30=0,0,C26/(C30*Hypothèses!$B$47*12))</f>
        <v>1901.7094017094037</v>
      </c>
      <c r="D31" s="22">
        <f>IF(D30=0,0,D26/(D30*Hypothèses!$B$47*12))</f>
        <v>2280</v>
      </c>
      <c r="E31" s="22">
        <f>IF(E30=0,0,E26/(E30*Hypothèses!$B$47*12))</f>
        <v>2850</v>
      </c>
      <c r="F31" s="22">
        <f>IF(F30=0,0,F26/(F30*Hypothèses!$B$47*12))</f>
        <v>1844.8917378917381</v>
      </c>
    </row>
    <row r="32" spans="1:6" x14ac:dyDescent="0.3">
      <c r="A32" s="6" t="s">
        <v>265</v>
      </c>
      <c r="B32" s="22">
        <f>IF(B30=0,0,B29/(B30*Hypothèses!$B$47*12))</f>
        <v>-0.33558366283257968</v>
      </c>
      <c r="C32" s="22">
        <f>IF(C30=0,0,C29/(C30*Hypothèses!$B$47*12))</f>
        <v>-1783.3689666706607</v>
      </c>
      <c r="D32" s="22">
        <f>IF(D30=0,0,D29/(D30*Hypothèses!$B$47*12))</f>
        <v>34.936870956146677</v>
      </c>
      <c r="E32" s="22">
        <f>IF(E30=0,0,E29/(E30*Hypothèses!$B$47*12))</f>
        <v>43.671088695183343</v>
      </c>
      <c r="F32" s="22">
        <f>IF(F30=0,0,F29/(F30*Hypothèses!$B$47*12))</f>
        <v>-96.294159544159413</v>
      </c>
    </row>
    <row r="34" spans="1:6" x14ac:dyDescent="0.3">
      <c r="A34" s="4" t="s">
        <v>267</v>
      </c>
      <c r="B34" s="4"/>
      <c r="C34" s="4"/>
      <c r="D34" s="4"/>
      <c r="E34" s="4"/>
      <c r="F34" s="4"/>
    </row>
    <row r="35" spans="1:6" ht="30" customHeight="1" x14ac:dyDescent="0.3">
      <c r="A35" s="27" t="s">
        <v>170</v>
      </c>
      <c r="B35" s="21" t="s">
        <v>24</v>
      </c>
      <c r="C35" s="21" t="s">
        <v>25</v>
      </c>
      <c r="D35" s="21" t="s">
        <v>26</v>
      </c>
      <c r="E35" s="21" t="s">
        <v>27</v>
      </c>
      <c r="F35" s="21" t="s">
        <v>28</v>
      </c>
    </row>
    <row r="36" spans="1:6" x14ac:dyDescent="0.3">
      <c r="A36" s="6" t="s">
        <v>8</v>
      </c>
      <c r="B36" s="22">
        <f>Mensuel!E59</f>
        <v>1300000</v>
      </c>
      <c r="C36" s="22">
        <f>Mensuel!E58</f>
        <v>1352000.0000000007</v>
      </c>
      <c r="D36" s="22">
        <f>Mensuel!E60</f>
        <v>4492800</v>
      </c>
      <c r="E36" s="22">
        <f>Mensuel!E61</f>
        <v>3088800</v>
      </c>
      <c r="F36" s="25">
        <f>SUM(B36:E36)</f>
        <v>10233600</v>
      </c>
    </row>
    <row r="37" spans="1:6" x14ac:dyDescent="0.3">
      <c r="A37" s="6" t="s">
        <v>255</v>
      </c>
      <c r="B37" s="22">
        <f>-Mensuel!E71</f>
        <v>0</v>
      </c>
      <c r="C37" s="22">
        <f>-Mensuel!E70</f>
        <v>-516666.66666666669</v>
      </c>
      <c r="D37" s="22">
        <v>0</v>
      </c>
      <c r="E37" s="22">
        <v>0</v>
      </c>
      <c r="F37" s="22">
        <f>SUM(B37:E37)</f>
        <v>-516666.66666666669</v>
      </c>
    </row>
    <row r="38" spans="1:6" x14ac:dyDescent="0.3">
      <c r="A38" s="6" t="s">
        <v>256</v>
      </c>
      <c r="B38" s="22">
        <f>-Mensuel!E49</f>
        <v>0</v>
      </c>
      <c r="C38" s="22">
        <f>-Mensuel!E48</f>
        <v>-75000</v>
      </c>
      <c r="D38" s="22">
        <v>0</v>
      </c>
      <c r="E38" s="22">
        <v>0</v>
      </c>
      <c r="F38" s="22">
        <f>SUM(B38:E38)</f>
        <v>-75000</v>
      </c>
    </row>
    <row r="39" spans="1:6" x14ac:dyDescent="0.3">
      <c r="A39" s="6" t="s">
        <v>257</v>
      </c>
      <c r="B39" s="22">
        <f>-Mensuel!E51</f>
        <v>0</v>
      </c>
      <c r="C39" s="22">
        <f>-Mensuel!E50</f>
        <v>-89000</v>
      </c>
      <c r="D39" s="22">
        <v>0</v>
      </c>
      <c r="E39" s="22">
        <v>0</v>
      </c>
      <c r="F39" s="22">
        <f>SUM(B39:E39)</f>
        <v>-89000</v>
      </c>
    </row>
    <row r="40" spans="1:6" x14ac:dyDescent="0.3">
      <c r="A40" s="6" t="s">
        <v>258</v>
      </c>
      <c r="B40" s="22">
        <f>-Mensuel!E33*IF(Mensuel!E84=0,0,Mensuel!E81/Mensuel!E84)</f>
        <v>-195000.00000000003</v>
      </c>
      <c r="C40" s="22">
        <f>-Mensuel!E33*IF(Mensuel!E84=0,0,Mensuel!E80/Mensuel!E84)</f>
        <v>-77999.999999999985</v>
      </c>
      <c r="D40" s="22">
        <f>-Mensuel!E33*IF(Mensuel!E84=0,0,Mensuel!E82/Mensuel!E84)</f>
        <v>-673919.99999999988</v>
      </c>
      <c r="E40" s="22">
        <f>-Mensuel!E33*IF(Mensuel!E84=0,0,Mensuel!E83/Mensuel!E84)</f>
        <v>-421199.99999999988</v>
      </c>
      <c r="F40" s="22">
        <f>SUM(B40:E40)</f>
        <v>-1368119.9999999998</v>
      </c>
    </row>
    <row r="41" spans="1:6" x14ac:dyDescent="0.3">
      <c r="A41" s="10" t="s">
        <v>259</v>
      </c>
      <c r="B41" s="24">
        <f>SUM(B36:B40)</f>
        <v>1105000</v>
      </c>
      <c r="C41" s="24">
        <f>SUM(C36:C40)</f>
        <v>593333.33333333395</v>
      </c>
      <c r="D41" s="24">
        <f>SUM(D36:D40)</f>
        <v>3818880</v>
      </c>
      <c r="E41" s="24">
        <f>SUM(E36:E40)</f>
        <v>2667600</v>
      </c>
      <c r="F41" s="24">
        <f>SUM(F36:F40)</f>
        <v>8184813.333333334</v>
      </c>
    </row>
    <row r="42" spans="1:6" x14ac:dyDescent="0.3">
      <c r="A42" s="6" t="s">
        <v>260</v>
      </c>
      <c r="B42" s="28">
        <f>IF(B36=0,0,B41/B36)</f>
        <v>0.85</v>
      </c>
      <c r="C42" s="28">
        <f>IF(C36=0,0,C41/C36)</f>
        <v>0.43885601577909295</v>
      </c>
      <c r="D42" s="28">
        <f>IF(D36=0,0,D41/D36)</f>
        <v>0.85</v>
      </c>
      <c r="E42" s="28">
        <f>IF(E36=0,0,E41/E36)</f>
        <v>0.86363636363636365</v>
      </c>
      <c r="F42" s="28">
        <f>IF(F36=0,0,F41/F36)</f>
        <v>0.79979805086512412</v>
      </c>
    </row>
    <row r="43" spans="1:6" x14ac:dyDescent="0.3">
      <c r="A43" s="6" t="s">
        <v>261</v>
      </c>
      <c r="B43" s="22">
        <f>-(Mensuel!E39-Mensuel!E33)*IF($F36=0,0,B36/$F36)</f>
        <v>-1039729.4207317074</v>
      </c>
      <c r="C43" s="22">
        <f>-(Mensuel!E39-Mensuel!E33)*IF($F36=0,0,C36/$F36)</f>
        <v>-1081318.5975609762</v>
      </c>
      <c r="D43" s="22">
        <f>-(Mensuel!E39-Mensuel!E33)*IF($F36=0,0,D36/$F36)</f>
        <v>-3593304.8780487804</v>
      </c>
      <c r="E43" s="22">
        <f>-(Mensuel!E39-Mensuel!E33)*IF($F36=0,0,E36/$F36)</f>
        <v>-2470397.1036585364</v>
      </c>
      <c r="F43" s="22">
        <f>SUM(B43:E43)</f>
        <v>-8184750</v>
      </c>
    </row>
    <row r="44" spans="1:6" x14ac:dyDescent="0.3">
      <c r="A44" s="10" t="s">
        <v>262</v>
      </c>
      <c r="B44" s="24">
        <f>B41+B43</f>
        <v>65270.57926829264</v>
      </c>
      <c r="C44" s="24">
        <f>C41+C43</f>
        <v>-487985.26422764221</v>
      </c>
      <c r="D44" s="24">
        <f>D41+D43</f>
        <v>225575.12195121963</v>
      </c>
      <c r="E44" s="24">
        <f>E41+E43</f>
        <v>197202.89634146355</v>
      </c>
      <c r="F44" s="24">
        <f>F41+F43</f>
        <v>63.333333333954215</v>
      </c>
    </row>
    <row r="45" spans="1:6" x14ac:dyDescent="0.3">
      <c r="A45" s="6" t="s">
        <v>263</v>
      </c>
      <c r="B45" s="32">
        <f>AVERAGE(Mensuel!AF10:AQ10)</f>
        <v>5</v>
      </c>
      <c r="C45" s="32">
        <f>AVERAGE(Mensuel!AF9:AQ9)</f>
        <v>1</v>
      </c>
      <c r="D45" s="32">
        <f>Hypothèses!$B$57</f>
        <v>6</v>
      </c>
      <c r="E45" s="32">
        <f>Hypothèses!$B$58</f>
        <v>3</v>
      </c>
      <c r="F45" s="32">
        <f>SUM(B45:E45)</f>
        <v>15</v>
      </c>
    </row>
    <row r="46" spans="1:6" x14ac:dyDescent="0.3">
      <c r="A46" s="6" t="s">
        <v>264</v>
      </c>
      <c r="B46" s="22">
        <f>IF(B45=0,0,B41/(B45*Hypothèses!$B$47*12))</f>
        <v>708.33333333333337</v>
      </c>
      <c r="C46" s="22">
        <f>IF(C45=0,0,C41/(C45*Hypothèses!$B$47*12))</f>
        <v>1901.7094017094037</v>
      </c>
      <c r="D46" s="22">
        <f>IF(D45=0,0,D41/(D45*Hypothèses!$B$47*12))</f>
        <v>2040</v>
      </c>
      <c r="E46" s="22">
        <f>IF(E45=0,0,E41/(E45*Hypothèses!$B$47*12))</f>
        <v>2850</v>
      </c>
      <c r="F46" s="22">
        <f>IF(F45=0,0,F41/(F45*Hypothèses!$B$47*12))</f>
        <v>1748.8917378917381</v>
      </c>
    </row>
    <row r="47" spans="1:6" x14ac:dyDescent="0.3">
      <c r="A47" s="6" t="s">
        <v>265</v>
      </c>
      <c r="B47" s="22">
        <f>IF(B45=0,0,B44/(B45*Hypothèses!$B$47*12))</f>
        <v>41.840114915572208</v>
      </c>
      <c r="C47" s="22">
        <f>IF(C45=0,0,C44/(C45*Hypothèses!$B$47*12))</f>
        <v>-1564.0553340629558</v>
      </c>
      <c r="D47" s="22">
        <f>IF(D45=0,0,D44/(D45*Hypothèses!$B$47*12))</f>
        <v>120.49953095684809</v>
      </c>
      <c r="E47" s="22">
        <f>IF(E45=0,0,E44/(E45*Hypothèses!$B$47*12))</f>
        <v>210.68685506566618</v>
      </c>
      <c r="F47" s="22">
        <f>IF(F45=0,0,F44/(F45*Hypothèses!$B$47*12))</f>
        <v>1.3532763532896199E-2</v>
      </c>
    </row>
    <row r="49" spans="1:6" x14ac:dyDescent="0.3">
      <c r="A49" s="4" t="s">
        <v>268</v>
      </c>
      <c r="B49" s="4"/>
      <c r="C49" s="4"/>
      <c r="D49" s="4"/>
      <c r="E49" s="4"/>
      <c r="F49" s="4"/>
    </row>
    <row r="50" spans="1:6" ht="30" customHeight="1" x14ac:dyDescent="0.3">
      <c r="A50" s="27"/>
      <c r="B50" s="21" t="s">
        <v>3</v>
      </c>
      <c r="C50" s="21" t="s">
        <v>4</v>
      </c>
      <c r="D50" s="21" t="s">
        <v>5</v>
      </c>
    </row>
    <row r="51" spans="1:6" x14ac:dyDescent="0.3">
      <c r="A51" s="6" t="s">
        <v>269</v>
      </c>
      <c r="B51" s="22">
        <f>F14</f>
        <v>1106636.6666666679</v>
      </c>
      <c r="C51" s="22">
        <f>F29</f>
        <v>-450656.66666666605</v>
      </c>
      <c r="D51" s="22">
        <f>F44</f>
        <v>63.333333333954215</v>
      </c>
    </row>
    <row r="52" spans="1:6" x14ac:dyDescent="0.3">
      <c r="A52" s="6" t="s">
        <v>248</v>
      </c>
      <c r="B52" s="22">
        <f>-(Mensuel!B74+Mensuel!C74)</f>
        <v>-3050000</v>
      </c>
      <c r="C52" s="22">
        <f>-Mensuel!D74</f>
        <v>0</v>
      </c>
      <c r="D52" s="22">
        <f>-Mensuel!E74</f>
        <v>0</v>
      </c>
    </row>
    <row r="53" spans="1:6" x14ac:dyDescent="0.3">
      <c r="A53" s="6" t="s">
        <v>247</v>
      </c>
      <c r="B53" s="22">
        <f>-Mensuel!C72</f>
        <v>-333333.33333333326</v>
      </c>
      <c r="C53" s="22">
        <f>-Mensuel!D72</f>
        <v>-333333.33333333326</v>
      </c>
      <c r="D53" s="22">
        <f>-Mensuel!E72</f>
        <v>-333333.33333333326</v>
      </c>
    </row>
    <row r="54" spans="1:6" x14ac:dyDescent="0.3">
      <c r="A54" s="6" t="s">
        <v>270</v>
      </c>
      <c r="B54" s="25">
        <f>SUM(B51:B53)</f>
        <v>-2276696.6666666651</v>
      </c>
      <c r="C54" s="25">
        <f>SUM(C51:C53)</f>
        <v>-783989.9999999993</v>
      </c>
      <c r="D54" s="25">
        <f>SUM(D51:D53)</f>
        <v>-333269.9999999993</v>
      </c>
    </row>
    <row r="55" spans="1:6" x14ac:dyDescent="0.3">
      <c r="A55" s="6" t="s">
        <v>271</v>
      </c>
      <c r="B55" s="22">
        <f>Résultat!B12</f>
        <v>-2276696.6666666623</v>
      </c>
      <c r="C55" s="22">
        <f>Résultat!C12</f>
        <v>-783990.00000000012</v>
      </c>
      <c r="D55" s="22">
        <f>Résultat!D12</f>
        <v>-333270.00000000012</v>
      </c>
    </row>
    <row r="56" spans="1:6" x14ac:dyDescent="0.3">
      <c r="A56" s="6" t="s">
        <v>272</v>
      </c>
      <c r="B56" s="31">
        <f>B54-B55</f>
        <v>0</v>
      </c>
      <c r="C56" s="31">
        <f>C54-C55</f>
        <v>0</v>
      </c>
      <c r="D56" s="31">
        <f>D54-D55</f>
        <v>8.149072527885437E-10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7"/>
  <sheetViews>
    <sheetView showGridLines="0" workbookViewId="0">
      <pane xSplit="1" ySplit="4" topLeftCell="B5" activePane="bottomRight" state="frozen"/>
      <selection pane="topRight"/>
      <selection pane="bottomLeft"/>
      <selection pane="bottomRight"/>
    </sheetView>
  </sheetViews>
  <sheetFormatPr baseColWidth="10" defaultColWidth="8.88671875" defaultRowHeight="14.4" x14ac:dyDescent="0.3"/>
  <cols>
    <col min="1" max="1" width="78" customWidth="1"/>
    <col min="2" max="5" width="18" customWidth="1"/>
  </cols>
  <sheetData>
    <row r="1" spans="1:5" ht="17.399999999999999" x14ac:dyDescent="0.3">
      <c r="A1" s="1" t="s">
        <v>273</v>
      </c>
    </row>
    <row r="2" spans="1:5" x14ac:dyDescent="0.3">
      <c r="A2" s="2" t="s">
        <v>274</v>
      </c>
    </row>
    <row r="4" spans="1:5" ht="30" customHeight="1" x14ac:dyDescent="0.3">
      <c r="A4" s="27" t="s">
        <v>170</v>
      </c>
      <c r="B4" s="21" t="s">
        <v>3</v>
      </c>
      <c r="C4" s="21" t="s">
        <v>4</v>
      </c>
      <c r="D4" s="21" t="s">
        <v>5</v>
      </c>
      <c r="E4" s="21" t="s">
        <v>6</v>
      </c>
    </row>
    <row r="5" spans="1:5" x14ac:dyDescent="0.3">
      <c r="A5" s="4" t="s">
        <v>275</v>
      </c>
      <c r="B5" s="4"/>
      <c r="C5" s="4"/>
      <c r="D5" s="4"/>
      <c r="E5" s="4"/>
    </row>
    <row r="6" spans="1:5" x14ac:dyDescent="0.3">
      <c r="A6" s="12" t="s">
        <v>276</v>
      </c>
      <c r="B6" s="25">
        <f>Mensuel!C62</f>
        <v>13104173.333333338</v>
      </c>
      <c r="C6" s="25">
        <f>Mensuel!D62</f>
        <v>10682880</v>
      </c>
      <c r="D6" s="25">
        <f>Mensuel!E62</f>
        <v>10233600</v>
      </c>
      <c r="E6" s="25">
        <f t="shared" ref="E6:E14" si="0">SUM(B6:D6)</f>
        <v>34020653.333333336</v>
      </c>
    </row>
    <row r="7" spans="1:5" x14ac:dyDescent="0.3">
      <c r="A7" s="6" t="s">
        <v>277</v>
      </c>
      <c r="B7" s="22">
        <f>-Mensuel!C39</f>
        <v>-7946870</v>
      </c>
      <c r="C7" s="22">
        <f>-Mensuel!D39</f>
        <v>-10452870</v>
      </c>
      <c r="D7" s="22">
        <f>-Mensuel!E39</f>
        <v>-9552870</v>
      </c>
      <c r="E7" s="22">
        <f t="shared" si="0"/>
        <v>-27952610</v>
      </c>
    </row>
    <row r="8" spans="1:5" x14ac:dyDescent="0.3">
      <c r="A8" s="6" t="s">
        <v>278</v>
      </c>
      <c r="B8" s="22">
        <f>-Mensuel!C52</f>
        <v>-1159000</v>
      </c>
      <c r="C8" s="22">
        <f>-Mensuel!D52</f>
        <v>-164000</v>
      </c>
      <c r="D8" s="22">
        <f>-Mensuel!E52</f>
        <v>-164000</v>
      </c>
      <c r="E8" s="22">
        <f t="shared" si="0"/>
        <v>-1487000</v>
      </c>
    </row>
    <row r="9" spans="1:5" x14ac:dyDescent="0.3">
      <c r="A9" s="10" t="s">
        <v>279</v>
      </c>
      <c r="B9" s="24">
        <f>B6+B7+B8</f>
        <v>3998303.3333333377</v>
      </c>
      <c r="C9" s="24">
        <f>C6+C7+C8</f>
        <v>66010</v>
      </c>
      <c r="D9" s="24">
        <f>D6+D7+D8</f>
        <v>516730</v>
      </c>
      <c r="E9" s="24">
        <f t="shared" si="0"/>
        <v>4581043.3333333377</v>
      </c>
    </row>
    <row r="10" spans="1:5" x14ac:dyDescent="0.3">
      <c r="A10" s="6" t="s">
        <v>280</v>
      </c>
      <c r="B10" s="22">
        <f>-Mensuel!C73</f>
        <v>-3225000</v>
      </c>
      <c r="C10" s="22">
        <f>-Mensuel!D73</f>
        <v>-850000.00000000012</v>
      </c>
      <c r="D10" s="22">
        <f>-Mensuel!E73</f>
        <v>-850000.00000000012</v>
      </c>
      <c r="E10" s="22">
        <f t="shared" si="0"/>
        <v>-4925000</v>
      </c>
    </row>
    <row r="11" spans="1:5" x14ac:dyDescent="0.3">
      <c r="A11" s="6" t="s">
        <v>248</v>
      </c>
      <c r="B11" s="22">
        <f>-(Mensuel!B74+Mensuel!C74)</f>
        <v>-3050000</v>
      </c>
      <c r="C11" s="22">
        <f>-Mensuel!D74</f>
        <v>0</v>
      </c>
      <c r="D11" s="22">
        <f>-Mensuel!E74</f>
        <v>0</v>
      </c>
      <c r="E11" s="22">
        <f t="shared" si="0"/>
        <v>-3050000</v>
      </c>
    </row>
    <row r="12" spans="1:5" x14ac:dyDescent="0.3">
      <c r="A12" s="10" t="s">
        <v>281</v>
      </c>
      <c r="B12" s="24">
        <f>B9+B10+B11</f>
        <v>-2276696.6666666623</v>
      </c>
      <c r="C12" s="24">
        <f>C9+C10+C11</f>
        <v>-783990.00000000012</v>
      </c>
      <c r="D12" s="24">
        <f>D9+D10+D11</f>
        <v>-333270.00000000012</v>
      </c>
      <c r="E12" s="24">
        <f t="shared" si="0"/>
        <v>-3393956.6666666623</v>
      </c>
    </row>
    <row r="13" spans="1:5" x14ac:dyDescent="0.3">
      <c r="A13" s="6" t="s">
        <v>282</v>
      </c>
      <c r="B13" s="22">
        <f>-IF(1&lt;=Hypothèses!$B$89,0,Hypothèses!$B$88*MAX(0,B12))</f>
        <v>0</v>
      </c>
      <c r="C13" s="22">
        <f>-IF(2&lt;=Hypothèses!$B$89,0,Hypothèses!$B$88*MAX(0,C12+MIN(0,B12)))</f>
        <v>0</v>
      </c>
      <c r="D13" s="22">
        <f>-IF(3&lt;=Hypothèses!$B$89,0,Hypothèses!$B$88*MAX(0,D12+MIN(0,B12+C12)))</f>
        <v>0</v>
      </c>
      <c r="E13" s="22">
        <f t="shared" si="0"/>
        <v>0</v>
      </c>
    </row>
    <row r="14" spans="1:5" x14ac:dyDescent="0.3">
      <c r="A14" s="10" t="s">
        <v>283</v>
      </c>
      <c r="B14" s="24">
        <f>B12+B13</f>
        <v>-2276696.6666666623</v>
      </c>
      <c r="C14" s="24">
        <f>C12+C13</f>
        <v>-783990.00000000012</v>
      </c>
      <c r="D14" s="24">
        <f>D12+D13</f>
        <v>-333270.00000000012</v>
      </c>
      <c r="E14" s="24">
        <f t="shared" si="0"/>
        <v>-3393956.6666666623</v>
      </c>
    </row>
    <row r="16" spans="1:5" x14ac:dyDescent="0.3">
      <c r="A16" s="4" t="s">
        <v>284</v>
      </c>
      <c r="B16" s="4"/>
      <c r="C16" s="4"/>
      <c r="D16" s="4"/>
      <c r="E16" s="4"/>
    </row>
    <row r="17" spans="1:5" x14ac:dyDescent="0.3">
      <c r="A17" s="6" t="s">
        <v>285</v>
      </c>
      <c r="B17" s="22">
        <f>-Mensuel!C75</f>
        <v>-95000</v>
      </c>
      <c r="C17" s="22">
        <f>-Mensuel!D75</f>
        <v>-190000</v>
      </c>
      <c r="D17" s="22">
        <f>-Mensuel!E75</f>
        <v>-190000</v>
      </c>
      <c r="E17" s="22">
        <f>SUM(B17:D17)</f>
        <v>-475000</v>
      </c>
    </row>
    <row r="18" spans="1:5" x14ac:dyDescent="0.3">
      <c r="A18" s="6" t="s">
        <v>286</v>
      </c>
      <c r="B18" s="22">
        <f>-Mensuel!C76</f>
        <v>-600000</v>
      </c>
      <c r="C18" s="22">
        <f>-Mensuel!D76</f>
        <v>-600000</v>
      </c>
      <c r="D18" s="22">
        <f>-Mensuel!E76</f>
        <v>-600000</v>
      </c>
      <c r="E18" s="22">
        <f>SUM(B18:D18)</f>
        <v>-1800000</v>
      </c>
    </row>
    <row r="19" spans="1:5" x14ac:dyDescent="0.3">
      <c r="A19" s="10" t="s">
        <v>287</v>
      </c>
      <c r="B19" s="24">
        <f>B14+B17+B18</f>
        <v>-2971696.6666666623</v>
      </c>
      <c r="C19" s="24">
        <f>C14+C17+C18</f>
        <v>-1573990</v>
      </c>
      <c r="D19" s="24">
        <f>D14+D17+D18</f>
        <v>-1123270</v>
      </c>
      <c r="E19" s="24">
        <f>SUM(B19:D19)</f>
        <v>-5668956.6666666623</v>
      </c>
    </row>
    <row r="20" spans="1:5" x14ac:dyDescent="0.3">
      <c r="A20" s="6" t="s">
        <v>288</v>
      </c>
      <c r="B20" s="22">
        <f>B19</f>
        <v>-2971696.6666666623</v>
      </c>
      <c r="C20" s="22">
        <f>B20+C19</f>
        <v>-4545686.6666666623</v>
      </c>
      <c r="D20" s="22">
        <f>C20+D19</f>
        <v>-5668956.6666666623</v>
      </c>
    </row>
    <row r="21" spans="1:5" x14ac:dyDescent="0.3">
      <c r="A21" s="6" t="s">
        <v>289</v>
      </c>
      <c r="B21" s="28">
        <f>IF(B6=0,0,B19/B6)</f>
        <v>-0.22677482898577817</v>
      </c>
      <c r="C21" s="28">
        <f>IF(C6=0,0,C19/C6)</f>
        <v>-0.1473376093338126</v>
      </c>
      <c r="D21" s="28">
        <f>IF(D6=0,0,D19/D6)</f>
        <v>-0.1097629377736085</v>
      </c>
      <c r="E21" s="28">
        <f>IF(E6=0,0,E19/E6)</f>
        <v>-0.16663279835111913</v>
      </c>
    </row>
    <row r="23" spans="1:5" x14ac:dyDescent="0.3">
      <c r="A23" s="4" t="s">
        <v>290</v>
      </c>
      <c r="B23" s="4"/>
      <c r="C23" s="4"/>
      <c r="D23" s="4"/>
      <c r="E23" s="4"/>
    </row>
    <row r="24" spans="1:5" x14ac:dyDescent="0.3">
      <c r="A24" s="6" t="s">
        <v>12</v>
      </c>
      <c r="B24" s="22">
        <f>B14</f>
        <v>-2276696.6666666623</v>
      </c>
      <c r="C24" s="22">
        <f>C14</f>
        <v>-783990.00000000012</v>
      </c>
      <c r="D24" s="22">
        <f>D14</f>
        <v>-333270.00000000012</v>
      </c>
      <c r="E24" s="22">
        <f t="shared" ref="E24:E32" si="1">SUM(B24:D24)</f>
        <v>-3393956.6666666623</v>
      </c>
    </row>
    <row r="25" spans="1:5" x14ac:dyDescent="0.3">
      <c r="A25" s="6" t="s">
        <v>291</v>
      </c>
      <c r="B25" s="22">
        <f>-B10</f>
        <v>3225000</v>
      </c>
      <c r="C25" s="22">
        <f>-C10</f>
        <v>850000.00000000012</v>
      </c>
      <c r="D25" s="22">
        <f>-D10</f>
        <v>850000.00000000012</v>
      </c>
      <c r="E25" s="22">
        <f t="shared" si="1"/>
        <v>4925000</v>
      </c>
    </row>
    <row r="26" spans="1:5" x14ac:dyDescent="0.3">
      <c r="A26" s="6" t="s">
        <v>292</v>
      </c>
      <c r="B26" s="22">
        <f>-B13</f>
        <v>0</v>
      </c>
      <c r="C26" s="22">
        <f>-C13</f>
        <v>0</v>
      </c>
      <c r="D26" s="22">
        <f>-D13</f>
        <v>0</v>
      </c>
      <c r="E26" s="22">
        <f t="shared" si="1"/>
        <v>0</v>
      </c>
    </row>
    <row r="27" spans="1:5" x14ac:dyDescent="0.3">
      <c r="A27" s="6" t="s">
        <v>293</v>
      </c>
      <c r="B27" s="22">
        <f>-(Mensuel!B45+Mensuel!C45)</f>
        <v>-3834583.3333333316</v>
      </c>
      <c r="C27" s="22">
        <f>-Mensuel!D45</f>
        <v>-90416.666666666672</v>
      </c>
      <c r="D27" s="22">
        <f>-Mensuel!E45</f>
        <v>0</v>
      </c>
      <c r="E27" s="22">
        <f t="shared" si="1"/>
        <v>-3924999.9999999981</v>
      </c>
    </row>
    <row r="28" spans="1:5" x14ac:dyDescent="0.3">
      <c r="A28" s="6" t="s">
        <v>294</v>
      </c>
      <c r="B28" s="22">
        <f>-(Mensuel!B17+Mensuel!C17)</f>
        <v>-1000000</v>
      </c>
      <c r="C28" s="22">
        <f>-Mensuel!D17</f>
        <v>0</v>
      </c>
      <c r="D28" s="22">
        <f>-Mensuel!E17</f>
        <v>0</v>
      </c>
      <c r="E28" s="22">
        <f t="shared" si="1"/>
        <v>-1000000</v>
      </c>
    </row>
    <row r="29" spans="1:5" x14ac:dyDescent="0.3">
      <c r="A29" s="6" t="s">
        <v>295</v>
      </c>
      <c r="B29" s="22">
        <f>-(Mensuel!B16+Mensuel!C16)</f>
        <v>-500000</v>
      </c>
      <c r="C29" s="22">
        <f>-Mensuel!D16</f>
        <v>0</v>
      </c>
      <c r="D29" s="22">
        <f>-Mensuel!E16</f>
        <v>0</v>
      </c>
      <c r="E29" s="22">
        <f t="shared" si="1"/>
        <v>-500000</v>
      </c>
    </row>
    <row r="30" spans="1:5" x14ac:dyDescent="0.3">
      <c r="A30" s="10" t="s">
        <v>296</v>
      </c>
      <c r="B30" s="24">
        <f>SUM(B24:B29)</f>
        <v>-4386279.9999999944</v>
      </c>
      <c r="C30" s="24">
        <f>SUM(C24:C29)</f>
        <v>-24406.666666666672</v>
      </c>
      <c r="D30" s="24">
        <f>SUM(D24:D29)</f>
        <v>516730</v>
      </c>
      <c r="E30" s="24">
        <f t="shared" si="1"/>
        <v>-3893956.6666666614</v>
      </c>
    </row>
    <row r="31" spans="1:5" x14ac:dyDescent="0.3">
      <c r="A31" s="6" t="s">
        <v>297</v>
      </c>
      <c r="B31" s="22">
        <f>Mensuel!B65+Mensuel!C65</f>
        <v>-4386279.9999999963</v>
      </c>
      <c r="C31" s="22">
        <f>Mensuel!D65</f>
        <v>-24406.666666666511</v>
      </c>
      <c r="D31" s="22">
        <f>Mensuel!E65</f>
        <v>516730</v>
      </c>
      <c r="E31" s="22">
        <f t="shared" si="1"/>
        <v>-3893956.6666666623</v>
      </c>
    </row>
    <row r="32" spans="1:5" x14ac:dyDescent="0.3">
      <c r="A32" s="2" t="s">
        <v>298</v>
      </c>
      <c r="B32" s="31">
        <f>ROUND(B30-B31,0)</f>
        <v>0</v>
      </c>
      <c r="C32" s="31">
        <f>ROUND(C30-C31,0)</f>
        <v>0</v>
      </c>
      <c r="D32" s="31">
        <f>ROUND(D30-D31,0)</f>
        <v>0</v>
      </c>
      <c r="E32" s="31">
        <f t="shared" si="1"/>
        <v>0</v>
      </c>
    </row>
    <row r="33" spans="1:4" x14ac:dyDescent="0.3">
      <c r="A33" s="12" t="s">
        <v>299</v>
      </c>
      <c r="B33" s="25">
        <f>Mensuel!C66</f>
        <v>10613719.999999998</v>
      </c>
      <c r="C33" s="25">
        <f>Mensuel!D66</f>
        <v>10589313.333333332</v>
      </c>
      <c r="D33" s="25">
        <f>Mensuel!E66</f>
        <v>11106043.333333332</v>
      </c>
    </row>
    <row r="34" spans="1:4" x14ac:dyDescent="0.3">
      <c r="A34" s="6" t="s">
        <v>300</v>
      </c>
      <c r="B34" s="22">
        <f>Mensuel!F66</f>
        <v>6350174.166666667</v>
      </c>
    </row>
    <row r="35" spans="1:4" x14ac:dyDescent="0.3">
      <c r="A35" s="6" t="s">
        <v>301</v>
      </c>
      <c r="B35" s="33">
        <f>Mensuel!F67</f>
        <v>0</v>
      </c>
    </row>
    <row r="37" spans="1:4" x14ac:dyDescent="0.3">
      <c r="A37" s="2"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84"/>
  <sheetViews>
    <sheetView showGridLines="0" workbookViewId="0">
      <pane xSplit="6" ySplit="4" topLeftCell="G49" activePane="bottomRight" state="frozen"/>
      <selection pane="topRight"/>
      <selection pane="bottomLeft"/>
      <selection pane="bottomRight" activeCell="A49" sqref="A49"/>
    </sheetView>
  </sheetViews>
  <sheetFormatPr baseColWidth="10" defaultColWidth="8.88671875" defaultRowHeight="14.4" x14ac:dyDescent="0.3"/>
  <cols>
    <col min="1" max="1" width="68" customWidth="1"/>
    <col min="2" max="6" width="15" customWidth="1"/>
    <col min="7" max="43" width="11" customWidth="1"/>
  </cols>
  <sheetData>
    <row r="1" spans="1:43" ht="17.399999999999999" customHeight="1" x14ac:dyDescent="0.3">
      <c r="A1" s="1" t="s">
        <v>303</v>
      </c>
    </row>
    <row r="2" spans="1:43" x14ac:dyDescent="0.3">
      <c r="A2" s="2" t="s">
        <v>304</v>
      </c>
    </row>
    <row r="4" spans="1:43" ht="30" customHeight="1" x14ac:dyDescent="0.3">
      <c r="A4" s="21" t="s">
        <v>170</v>
      </c>
      <c r="B4" s="21" t="s">
        <v>61</v>
      </c>
      <c r="C4" s="21" t="s">
        <v>305</v>
      </c>
      <c r="D4" s="21" t="s">
        <v>306</v>
      </c>
      <c r="E4" s="21" t="s">
        <v>307</v>
      </c>
      <c r="F4" s="21" t="s">
        <v>6</v>
      </c>
      <c r="G4" s="34">
        <v>0</v>
      </c>
      <c r="H4" s="34">
        <v>1</v>
      </c>
      <c r="I4" s="34">
        <v>2</v>
      </c>
      <c r="J4" s="34">
        <v>3</v>
      </c>
      <c r="K4" s="34">
        <v>4</v>
      </c>
      <c r="L4" s="34">
        <v>5</v>
      </c>
      <c r="M4" s="34">
        <v>6</v>
      </c>
      <c r="N4" s="34">
        <v>7</v>
      </c>
      <c r="O4" s="34">
        <v>8</v>
      </c>
      <c r="P4" s="34">
        <v>9</v>
      </c>
      <c r="Q4" s="34">
        <v>10</v>
      </c>
      <c r="R4" s="34">
        <v>11</v>
      </c>
      <c r="S4" s="34">
        <v>12</v>
      </c>
      <c r="T4" s="34">
        <v>13</v>
      </c>
      <c r="U4" s="34">
        <v>14</v>
      </c>
      <c r="V4" s="34">
        <v>15</v>
      </c>
      <c r="W4" s="34">
        <v>16</v>
      </c>
      <c r="X4" s="34">
        <v>17</v>
      </c>
      <c r="Y4" s="34">
        <v>18</v>
      </c>
      <c r="Z4" s="34">
        <v>19</v>
      </c>
      <c r="AA4" s="34">
        <v>20</v>
      </c>
      <c r="AB4" s="34">
        <v>21</v>
      </c>
      <c r="AC4" s="34">
        <v>22</v>
      </c>
      <c r="AD4" s="34">
        <v>23</v>
      </c>
      <c r="AE4" s="34">
        <v>24</v>
      </c>
      <c r="AF4" s="34">
        <v>25</v>
      </c>
      <c r="AG4" s="34">
        <v>26</v>
      </c>
      <c r="AH4" s="34">
        <v>27</v>
      </c>
      <c r="AI4" s="34">
        <v>28</v>
      </c>
      <c r="AJ4" s="34">
        <v>29</v>
      </c>
      <c r="AK4" s="34">
        <v>30</v>
      </c>
      <c r="AL4" s="34">
        <v>31</v>
      </c>
      <c r="AM4" s="34">
        <v>32</v>
      </c>
      <c r="AN4" s="34">
        <v>33</v>
      </c>
      <c r="AO4" s="34">
        <v>34</v>
      </c>
      <c r="AP4" s="34">
        <v>35</v>
      </c>
      <c r="AQ4" s="34">
        <v>36</v>
      </c>
    </row>
    <row r="6" spans="1:43" x14ac:dyDescent="0.3">
      <c r="A6" s="4" t="s">
        <v>308</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spans="1:43" x14ac:dyDescent="0.3">
      <c r="A7" s="6" t="s">
        <v>309</v>
      </c>
      <c r="B7" s="2" t="s">
        <v>310</v>
      </c>
      <c r="G7" s="35">
        <v>0</v>
      </c>
      <c r="H7" s="36">
        <f>Hypothèses!$B$5</f>
        <v>1</v>
      </c>
      <c r="I7" s="35">
        <v>0</v>
      </c>
      <c r="J7" s="35">
        <v>0</v>
      </c>
      <c r="K7" s="35">
        <v>0</v>
      </c>
      <c r="L7" s="35">
        <v>0</v>
      </c>
      <c r="M7" s="35">
        <v>0</v>
      </c>
      <c r="N7" s="35">
        <v>0</v>
      </c>
      <c r="O7" s="35">
        <v>0</v>
      </c>
      <c r="P7" s="35">
        <v>0</v>
      </c>
      <c r="Q7" s="35">
        <v>0</v>
      </c>
      <c r="R7" s="35">
        <v>0</v>
      </c>
      <c r="S7" s="35">
        <v>0</v>
      </c>
      <c r="T7" s="35">
        <v>0</v>
      </c>
      <c r="U7" s="35">
        <v>0</v>
      </c>
      <c r="V7" s="35">
        <v>0</v>
      </c>
      <c r="W7" s="35">
        <v>0</v>
      </c>
      <c r="X7" s="35">
        <v>0</v>
      </c>
      <c r="Y7" s="35">
        <v>0</v>
      </c>
      <c r="Z7" s="35">
        <v>0</v>
      </c>
      <c r="AA7" s="35">
        <v>0</v>
      </c>
      <c r="AB7" s="35">
        <v>0</v>
      </c>
      <c r="AC7" s="35">
        <v>0</v>
      </c>
      <c r="AD7" s="35">
        <v>0</v>
      </c>
      <c r="AE7" s="35">
        <v>0</v>
      </c>
      <c r="AF7" s="35">
        <v>0</v>
      </c>
      <c r="AG7" s="35">
        <v>0</v>
      </c>
      <c r="AH7" s="35">
        <v>0</v>
      </c>
      <c r="AI7" s="35">
        <v>0</v>
      </c>
      <c r="AJ7" s="35">
        <v>0</v>
      </c>
      <c r="AK7" s="35">
        <v>0</v>
      </c>
      <c r="AL7" s="35">
        <v>0</v>
      </c>
      <c r="AM7" s="35">
        <v>0</v>
      </c>
      <c r="AN7" s="35">
        <v>0</v>
      </c>
      <c r="AO7" s="35">
        <v>0</v>
      </c>
      <c r="AP7" s="35">
        <v>0</v>
      </c>
      <c r="AQ7" s="35">
        <v>0</v>
      </c>
    </row>
    <row r="8" spans="1:43" x14ac:dyDescent="0.3">
      <c r="A8" s="6" t="s">
        <v>311</v>
      </c>
      <c r="G8" s="35">
        <v>0</v>
      </c>
      <c r="H8" s="36">
        <f>Hypothèses!$B$6</f>
        <v>5</v>
      </c>
      <c r="I8" s="35">
        <v>0</v>
      </c>
      <c r="J8" s="35">
        <v>0</v>
      </c>
      <c r="K8" s="35">
        <v>0</v>
      </c>
      <c r="L8" s="35">
        <v>0</v>
      </c>
      <c r="M8" s="35">
        <v>0</v>
      </c>
      <c r="N8" s="35">
        <v>0</v>
      </c>
      <c r="O8" s="35">
        <v>0</v>
      </c>
      <c r="P8" s="35">
        <v>0</v>
      </c>
      <c r="Q8" s="35">
        <v>0</v>
      </c>
      <c r="R8" s="35">
        <v>0</v>
      </c>
      <c r="S8" s="35">
        <v>0</v>
      </c>
      <c r="T8" s="35">
        <v>0</v>
      </c>
      <c r="U8" s="35">
        <v>0</v>
      </c>
      <c r="V8" s="35">
        <v>0</v>
      </c>
      <c r="W8" s="35">
        <v>0</v>
      </c>
      <c r="X8" s="35">
        <v>0</v>
      </c>
      <c r="Y8" s="35">
        <v>0</v>
      </c>
      <c r="Z8" s="35">
        <v>0</v>
      </c>
      <c r="AA8" s="35">
        <v>0</v>
      </c>
      <c r="AB8" s="35">
        <v>0</v>
      </c>
      <c r="AC8" s="35">
        <v>0</v>
      </c>
      <c r="AD8" s="35">
        <v>0</v>
      </c>
      <c r="AE8" s="35">
        <v>0</v>
      </c>
      <c r="AF8" s="35">
        <v>0</v>
      </c>
      <c r="AG8" s="35">
        <v>0</v>
      </c>
      <c r="AH8" s="35">
        <v>0</v>
      </c>
      <c r="AI8" s="35">
        <v>0</v>
      </c>
      <c r="AJ8" s="35">
        <v>0</v>
      </c>
      <c r="AK8" s="35">
        <v>0</v>
      </c>
      <c r="AL8" s="35">
        <v>0</v>
      </c>
      <c r="AM8" s="35">
        <v>0</v>
      </c>
      <c r="AN8" s="35">
        <v>0</v>
      </c>
      <c r="AO8" s="35">
        <v>0</v>
      </c>
      <c r="AP8" s="35">
        <v>0</v>
      </c>
      <c r="AQ8" s="35">
        <v>0</v>
      </c>
    </row>
    <row r="9" spans="1:43" x14ac:dyDescent="0.3">
      <c r="A9" s="6" t="s">
        <v>312</v>
      </c>
      <c r="B9" s="22"/>
      <c r="C9" s="22"/>
      <c r="D9" s="22"/>
      <c r="E9" s="22"/>
      <c r="F9" s="22"/>
      <c r="G9" s="37">
        <f>G7</f>
        <v>0</v>
      </c>
      <c r="H9" s="37">
        <f t="shared" ref="H9:AQ9" si="0">G9+H7</f>
        <v>1</v>
      </c>
      <c r="I9" s="37">
        <f t="shared" si="0"/>
        <v>1</v>
      </c>
      <c r="J9" s="37">
        <f t="shared" si="0"/>
        <v>1</v>
      </c>
      <c r="K9" s="37">
        <f t="shared" si="0"/>
        <v>1</v>
      </c>
      <c r="L9" s="37">
        <f t="shared" si="0"/>
        <v>1</v>
      </c>
      <c r="M9" s="37">
        <f t="shared" si="0"/>
        <v>1</v>
      </c>
      <c r="N9" s="37">
        <f t="shared" si="0"/>
        <v>1</v>
      </c>
      <c r="O9" s="37">
        <f t="shared" si="0"/>
        <v>1</v>
      </c>
      <c r="P9" s="37">
        <f t="shared" si="0"/>
        <v>1</v>
      </c>
      <c r="Q9" s="37">
        <f t="shared" si="0"/>
        <v>1</v>
      </c>
      <c r="R9" s="37">
        <f t="shared" si="0"/>
        <v>1</v>
      </c>
      <c r="S9" s="37">
        <f t="shared" si="0"/>
        <v>1</v>
      </c>
      <c r="T9" s="37">
        <f t="shared" si="0"/>
        <v>1</v>
      </c>
      <c r="U9" s="37">
        <f t="shared" si="0"/>
        <v>1</v>
      </c>
      <c r="V9" s="37">
        <f t="shared" si="0"/>
        <v>1</v>
      </c>
      <c r="W9" s="37">
        <f t="shared" si="0"/>
        <v>1</v>
      </c>
      <c r="X9" s="37">
        <f t="shared" si="0"/>
        <v>1</v>
      </c>
      <c r="Y9" s="37">
        <f t="shared" si="0"/>
        <v>1</v>
      </c>
      <c r="Z9" s="37">
        <f t="shared" si="0"/>
        <v>1</v>
      </c>
      <c r="AA9" s="37">
        <f t="shared" si="0"/>
        <v>1</v>
      </c>
      <c r="AB9" s="37">
        <f t="shared" si="0"/>
        <v>1</v>
      </c>
      <c r="AC9" s="37">
        <f t="shared" si="0"/>
        <v>1</v>
      </c>
      <c r="AD9" s="37">
        <f t="shared" si="0"/>
        <v>1</v>
      </c>
      <c r="AE9" s="37">
        <f t="shared" si="0"/>
        <v>1</v>
      </c>
      <c r="AF9" s="37">
        <f t="shared" si="0"/>
        <v>1</v>
      </c>
      <c r="AG9" s="37">
        <f t="shared" si="0"/>
        <v>1</v>
      </c>
      <c r="AH9" s="37">
        <f t="shared" si="0"/>
        <v>1</v>
      </c>
      <c r="AI9" s="37">
        <f t="shared" si="0"/>
        <v>1</v>
      </c>
      <c r="AJ9" s="37">
        <f t="shared" si="0"/>
        <v>1</v>
      </c>
      <c r="AK9" s="37">
        <f t="shared" si="0"/>
        <v>1</v>
      </c>
      <c r="AL9" s="37">
        <f t="shared" si="0"/>
        <v>1</v>
      </c>
      <c r="AM9" s="37">
        <f t="shared" si="0"/>
        <v>1</v>
      </c>
      <c r="AN9" s="37">
        <f t="shared" si="0"/>
        <v>1</v>
      </c>
      <c r="AO9" s="37">
        <f t="shared" si="0"/>
        <v>1</v>
      </c>
      <c r="AP9" s="37">
        <f t="shared" si="0"/>
        <v>1</v>
      </c>
      <c r="AQ9" s="37">
        <f t="shared" si="0"/>
        <v>1</v>
      </c>
    </row>
    <row r="10" spans="1:43" x14ac:dyDescent="0.3">
      <c r="A10" s="6" t="s">
        <v>313</v>
      </c>
      <c r="B10" s="22"/>
      <c r="C10" s="22"/>
      <c r="D10" s="22"/>
      <c r="E10" s="22"/>
      <c r="F10" s="22"/>
      <c r="G10" s="37">
        <f>G8</f>
        <v>0</v>
      </c>
      <c r="H10" s="37">
        <f t="shared" ref="H10:AQ10" si="1">G10+H8</f>
        <v>5</v>
      </c>
      <c r="I10" s="37">
        <f t="shared" si="1"/>
        <v>5</v>
      </c>
      <c r="J10" s="37">
        <f t="shared" si="1"/>
        <v>5</v>
      </c>
      <c r="K10" s="37">
        <f t="shared" si="1"/>
        <v>5</v>
      </c>
      <c r="L10" s="37">
        <f t="shared" si="1"/>
        <v>5</v>
      </c>
      <c r="M10" s="37">
        <f t="shared" si="1"/>
        <v>5</v>
      </c>
      <c r="N10" s="37">
        <f t="shared" si="1"/>
        <v>5</v>
      </c>
      <c r="O10" s="37">
        <f t="shared" si="1"/>
        <v>5</v>
      </c>
      <c r="P10" s="37">
        <f t="shared" si="1"/>
        <v>5</v>
      </c>
      <c r="Q10" s="37">
        <f t="shared" si="1"/>
        <v>5</v>
      </c>
      <c r="R10" s="37">
        <f t="shared" si="1"/>
        <v>5</v>
      </c>
      <c r="S10" s="37">
        <f t="shared" si="1"/>
        <v>5</v>
      </c>
      <c r="T10" s="37">
        <f t="shared" si="1"/>
        <v>5</v>
      </c>
      <c r="U10" s="37">
        <f t="shared" si="1"/>
        <v>5</v>
      </c>
      <c r="V10" s="37">
        <f t="shared" si="1"/>
        <v>5</v>
      </c>
      <c r="W10" s="37">
        <f t="shared" si="1"/>
        <v>5</v>
      </c>
      <c r="X10" s="37">
        <f t="shared" si="1"/>
        <v>5</v>
      </c>
      <c r="Y10" s="37">
        <f t="shared" si="1"/>
        <v>5</v>
      </c>
      <c r="Z10" s="37">
        <f t="shared" si="1"/>
        <v>5</v>
      </c>
      <c r="AA10" s="37">
        <f t="shared" si="1"/>
        <v>5</v>
      </c>
      <c r="AB10" s="37">
        <f t="shared" si="1"/>
        <v>5</v>
      </c>
      <c r="AC10" s="37">
        <f t="shared" si="1"/>
        <v>5</v>
      </c>
      <c r="AD10" s="37">
        <f t="shared" si="1"/>
        <v>5</v>
      </c>
      <c r="AE10" s="37">
        <f t="shared" si="1"/>
        <v>5</v>
      </c>
      <c r="AF10" s="37">
        <f t="shared" si="1"/>
        <v>5</v>
      </c>
      <c r="AG10" s="37">
        <f t="shared" si="1"/>
        <v>5</v>
      </c>
      <c r="AH10" s="37">
        <f t="shared" si="1"/>
        <v>5</v>
      </c>
      <c r="AI10" s="37">
        <f t="shared" si="1"/>
        <v>5</v>
      </c>
      <c r="AJ10" s="37">
        <f t="shared" si="1"/>
        <v>5</v>
      </c>
      <c r="AK10" s="37">
        <f t="shared" si="1"/>
        <v>5</v>
      </c>
      <c r="AL10" s="37">
        <f t="shared" si="1"/>
        <v>5</v>
      </c>
      <c r="AM10" s="37">
        <f t="shared" si="1"/>
        <v>5</v>
      </c>
      <c r="AN10" s="37">
        <f t="shared" si="1"/>
        <v>5</v>
      </c>
      <c r="AO10" s="37">
        <f t="shared" si="1"/>
        <v>5</v>
      </c>
      <c r="AP10" s="37">
        <f t="shared" si="1"/>
        <v>5</v>
      </c>
      <c r="AQ10" s="37">
        <f t="shared" si="1"/>
        <v>5</v>
      </c>
    </row>
    <row r="12" spans="1:43" x14ac:dyDescent="0.3">
      <c r="A12" s="4" t="s">
        <v>234</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spans="1:43" x14ac:dyDescent="0.3">
      <c r="A13" s="6" t="s">
        <v>62</v>
      </c>
      <c r="B13" s="22">
        <f t="shared" ref="B13:B20" si="2">G13</f>
        <v>1500000</v>
      </c>
      <c r="C13" s="22">
        <f t="shared" ref="C13:C20" si="3">SUM(H13:S13)</f>
        <v>0</v>
      </c>
      <c r="D13" s="22">
        <f t="shared" ref="D13:D20" si="4">SUM(T13:AE13)</f>
        <v>0</v>
      </c>
      <c r="E13" s="22">
        <f t="shared" ref="E13:E20" si="5">SUM(AF13:AQ13)</f>
        <v>0</v>
      </c>
      <c r="F13" s="22">
        <f t="shared" ref="F13:F20" si="6">SUM(B13:E13)</f>
        <v>1500000</v>
      </c>
      <c r="G13" s="7">
        <f>Hypothèses!$B$22</f>
        <v>1500000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row>
    <row r="14" spans="1:43" x14ac:dyDescent="0.3">
      <c r="A14" s="6" t="s">
        <v>64</v>
      </c>
      <c r="B14" s="22">
        <f t="shared" si="2"/>
        <v>300000</v>
      </c>
      <c r="C14" s="22">
        <f t="shared" si="3"/>
        <v>0</v>
      </c>
      <c r="D14" s="22">
        <f t="shared" si="4"/>
        <v>0</v>
      </c>
      <c r="E14" s="22">
        <f t="shared" si="5"/>
        <v>0</v>
      </c>
      <c r="F14" s="22">
        <f t="shared" si="6"/>
        <v>300000</v>
      </c>
      <c r="G14" s="7">
        <f>Hypothèses!$B$23</f>
        <v>300000</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c r="AF14" s="7">
        <v>0</v>
      </c>
      <c r="AG14" s="7">
        <v>0</v>
      </c>
      <c r="AH14" s="7">
        <v>0</v>
      </c>
      <c r="AI14" s="7">
        <v>0</v>
      </c>
      <c r="AJ14" s="7">
        <v>0</v>
      </c>
      <c r="AK14" s="7">
        <v>0</v>
      </c>
      <c r="AL14" s="7">
        <v>0</v>
      </c>
      <c r="AM14" s="7">
        <v>0</v>
      </c>
      <c r="AN14" s="7">
        <v>0</v>
      </c>
      <c r="AO14" s="7">
        <v>0</v>
      </c>
      <c r="AP14" s="7">
        <v>0</v>
      </c>
      <c r="AQ14" s="7">
        <v>0</v>
      </c>
    </row>
    <row r="15" spans="1:43" x14ac:dyDescent="0.3">
      <c r="A15" s="6" t="s">
        <v>65</v>
      </c>
      <c r="B15" s="22">
        <f t="shared" si="2"/>
        <v>100000</v>
      </c>
      <c r="C15" s="22">
        <f t="shared" si="3"/>
        <v>0</v>
      </c>
      <c r="D15" s="22">
        <f t="shared" si="4"/>
        <v>0</v>
      </c>
      <c r="E15" s="22">
        <f t="shared" si="5"/>
        <v>0</v>
      </c>
      <c r="F15" s="22">
        <f t="shared" si="6"/>
        <v>100000</v>
      </c>
      <c r="G15" s="7">
        <f>Hypothèses!$B$24</f>
        <v>100000</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row>
    <row r="16" spans="1:43" x14ac:dyDescent="0.3">
      <c r="A16" s="6" t="s">
        <v>66</v>
      </c>
      <c r="B16" s="22">
        <f t="shared" si="2"/>
        <v>500000</v>
      </c>
      <c r="C16" s="22">
        <f t="shared" si="3"/>
        <v>0</v>
      </c>
      <c r="D16" s="22">
        <f t="shared" si="4"/>
        <v>0</v>
      </c>
      <c r="E16" s="22">
        <f t="shared" si="5"/>
        <v>0</v>
      </c>
      <c r="F16" s="22">
        <f t="shared" si="6"/>
        <v>500000</v>
      </c>
      <c r="G16" s="7">
        <f>Hypothèses!$B$25</f>
        <v>500000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v>0</v>
      </c>
      <c r="AG16" s="7">
        <v>0</v>
      </c>
      <c r="AH16" s="7">
        <v>0</v>
      </c>
      <c r="AI16" s="7">
        <v>0</v>
      </c>
      <c r="AJ16" s="7">
        <v>0</v>
      </c>
      <c r="AK16" s="7">
        <v>0</v>
      </c>
      <c r="AL16" s="7">
        <v>0</v>
      </c>
      <c r="AM16" s="7">
        <v>0</v>
      </c>
      <c r="AN16" s="7">
        <v>0</v>
      </c>
      <c r="AO16" s="7">
        <v>0</v>
      </c>
      <c r="AP16" s="7">
        <v>0</v>
      </c>
      <c r="AQ16" s="7">
        <v>0</v>
      </c>
    </row>
    <row r="17" spans="1:43" x14ac:dyDescent="0.3">
      <c r="A17" s="6" t="s">
        <v>67</v>
      </c>
      <c r="B17" s="22">
        <f t="shared" si="2"/>
        <v>1000000</v>
      </c>
      <c r="C17" s="22">
        <f t="shared" si="3"/>
        <v>0</v>
      </c>
      <c r="D17" s="22">
        <f t="shared" si="4"/>
        <v>0</v>
      </c>
      <c r="E17" s="22">
        <f t="shared" si="5"/>
        <v>0</v>
      </c>
      <c r="F17" s="22">
        <f t="shared" si="6"/>
        <v>1000000</v>
      </c>
      <c r="G17" s="7">
        <f>Hypothèses!$B$26</f>
        <v>1000000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row>
    <row r="18" spans="1:43" x14ac:dyDescent="0.3">
      <c r="A18" s="6" t="s">
        <v>68</v>
      </c>
      <c r="B18" s="22">
        <f t="shared" si="2"/>
        <v>1000000</v>
      </c>
      <c r="C18" s="22">
        <f t="shared" si="3"/>
        <v>0</v>
      </c>
      <c r="D18" s="22">
        <f t="shared" si="4"/>
        <v>0</v>
      </c>
      <c r="E18" s="22">
        <f t="shared" si="5"/>
        <v>0</v>
      </c>
      <c r="F18" s="22">
        <f t="shared" si="6"/>
        <v>1000000</v>
      </c>
      <c r="G18" s="7">
        <f>Hypothèses!$B$27</f>
        <v>1000000</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row>
    <row r="19" spans="1:43" x14ac:dyDescent="0.3">
      <c r="A19" s="6" t="s">
        <v>69</v>
      </c>
      <c r="B19" s="22">
        <f t="shared" si="2"/>
        <v>150000</v>
      </c>
      <c r="C19" s="22">
        <f t="shared" si="3"/>
        <v>0</v>
      </c>
      <c r="D19" s="22">
        <f t="shared" si="4"/>
        <v>0</v>
      </c>
      <c r="E19" s="22">
        <f t="shared" si="5"/>
        <v>0</v>
      </c>
      <c r="F19" s="22">
        <f t="shared" si="6"/>
        <v>150000</v>
      </c>
      <c r="G19" s="7">
        <f>Hypothèses!$B$28</f>
        <v>150000</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row>
    <row r="20" spans="1:43" x14ac:dyDescent="0.3">
      <c r="A20" s="8" t="s">
        <v>235</v>
      </c>
      <c r="B20" s="23">
        <f t="shared" si="2"/>
        <v>4550000</v>
      </c>
      <c r="C20" s="23">
        <f t="shared" si="3"/>
        <v>0</v>
      </c>
      <c r="D20" s="23">
        <f t="shared" si="4"/>
        <v>0</v>
      </c>
      <c r="E20" s="23">
        <f t="shared" si="5"/>
        <v>0</v>
      </c>
      <c r="F20" s="23">
        <f t="shared" si="6"/>
        <v>4550000</v>
      </c>
      <c r="G20" s="23">
        <f t="shared" ref="G20:AQ20" si="7">SUM(G13:G19)</f>
        <v>4550000</v>
      </c>
      <c r="H20" s="23">
        <f t="shared" si="7"/>
        <v>0</v>
      </c>
      <c r="I20" s="23">
        <f t="shared" si="7"/>
        <v>0</v>
      </c>
      <c r="J20" s="23">
        <f t="shared" si="7"/>
        <v>0</v>
      </c>
      <c r="K20" s="23">
        <f t="shared" si="7"/>
        <v>0</v>
      </c>
      <c r="L20" s="23">
        <f t="shared" si="7"/>
        <v>0</v>
      </c>
      <c r="M20" s="23">
        <f t="shared" si="7"/>
        <v>0</v>
      </c>
      <c r="N20" s="23">
        <f t="shared" si="7"/>
        <v>0</v>
      </c>
      <c r="O20" s="23">
        <f t="shared" si="7"/>
        <v>0</v>
      </c>
      <c r="P20" s="23">
        <f t="shared" si="7"/>
        <v>0</v>
      </c>
      <c r="Q20" s="23">
        <f t="shared" si="7"/>
        <v>0</v>
      </c>
      <c r="R20" s="23">
        <f t="shared" si="7"/>
        <v>0</v>
      </c>
      <c r="S20" s="23">
        <f t="shared" si="7"/>
        <v>0</v>
      </c>
      <c r="T20" s="23">
        <f t="shared" si="7"/>
        <v>0</v>
      </c>
      <c r="U20" s="23">
        <f t="shared" si="7"/>
        <v>0</v>
      </c>
      <c r="V20" s="23">
        <f t="shared" si="7"/>
        <v>0</v>
      </c>
      <c r="W20" s="23">
        <f t="shared" si="7"/>
        <v>0</v>
      </c>
      <c r="X20" s="23">
        <f t="shared" si="7"/>
        <v>0</v>
      </c>
      <c r="Y20" s="23">
        <f t="shared" si="7"/>
        <v>0</v>
      </c>
      <c r="Z20" s="23">
        <f t="shared" si="7"/>
        <v>0</v>
      </c>
      <c r="AA20" s="23">
        <f t="shared" si="7"/>
        <v>0</v>
      </c>
      <c r="AB20" s="23">
        <f t="shared" si="7"/>
        <v>0</v>
      </c>
      <c r="AC20" s="23">
        <f t="shared" si="7"/>
        <v>0</v>
      </c>
      <c r="AD20" s="23">
        <f t="shared" si="7"/>
        <v>0</v>
      </c>
      <c r="AE20" s="23">
        <f t="shared" si="7"/>
        <v>0</v>
      </c>
      <c r="AF20" s="23">
        <f t="shared" si="7"/>
        <v>0</v>
      </c>
      <c r="AG20" s="23">
        <f t="shared" si="7"/>
        <v>0</v>
      </c>
      <c r="AH20" s="23">
        <f t="shared" si="7"/>
        <v>0</v>
      </c>
      <c r="AI20" s="23">
        <f t="shared" si="7"/>
        <v>0</v>
      </c>
      <c r="AJ20" s="23">
        <f t="shared" si="7"/>
        <v>0</v>
      </c>
      <c r="AK20" s="23">
        <f t="shared" si="7"/>
        <v>0</v>
      </c>
      <c r="AL20" s="23">
        <f t="shared" si="7"/>
        <v>0</v>
      </c>
      <c r="AM20" s="23">
        <f t="shared" si="7"/>
        <v>0</v>
      </c>
      <c r="AN20" s="23">
        <f t="shared" si="7"/>
        <v>0</v>
      </c>
      <c r="AO20" s="23">
        <f t="shared" si="7"/>
        <v>0</v>
      </c>
      <c r="AP20" s="23">
        <f t="shared" si="7"/>
        <v>0</v>
      </c>
      <c r="AQ20" s="23">
        <f t="shared" si="7"/>
        <v>0</v>
      </c>
    </row>
    <row r="22" spans="1:43" x14ac:dyDescent="0.3">
      <c r="A22" s="4" t="s">
        <v>236</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spans="1:43" x14ac:dyDescent="0.3">
      <c r="A23" s="6" t="s">
        <v>71</v>
      </c>
      <c r="B23" s="22">
        <f t="shared" ref="B23:B39" si="8">G23</f>
        <v>0</v>
      </c>
      <c r="C23" s="22">
        <f t="shared" ref="C23:C39" si="9">SUM(H23:S23)</f>
        <v>1200000</v>
      </c>
      <c r="D23" s="22">
        <f t="shared" ref="D23:D39" si="10">SUM(T23:AE23)</f>
        <v>1200000</v>
      </c>
      <c r="E23" s="22">
        <f t="shared" ref="E23:E39" si="11">SUM(AF23:AQ23)</f>
        <v>1200000</v>
      </c>
      <c r="F23" s="22">
        <f t="shared" ref="F23:F39" si="12">SUM(B23:E23)</f>
        <v>3600000</v>
      </c>
      <c r="G23" s="22">
        <v>0</v>
      </c>
      <c r="H23" s="22">
        <f>Hypothèses!$B$31</f>
        <v>100000</v>
      </c>
      <c r="I23" s="22">
        <f>Hypothèses!$B$31</f>
        <v>100000</v>
      </c>
      <c r="J23" s="22">
        <f>Hypothèses!$B$31</f>
        <v>100000</v>
      </c>
      <c r="K23" s="22">
        <f>Hypothèses!$B$31</f>
        <v>100000</v>
      </c>
      <c r="L23" s="22">
        <f>Hypothèses!$B$31</f>
        <v>100000</v>
      </c>
      <c r="M23" s="22">
        <f>Hypothèses!$B$31</f>
        <v>100000</v>
      </c>
      <c r="N23" s="22">
        <f>Hypothèses!$B$31</f>
        <v>100000</v>
      </c>
      <c r="O23" s="22">
        <f>Hypothèses!$B$31</f>
        <v>100000</v>
      </c>
      <c r="P23" s="22">
        <f>Hypothèses!$B$31</f>
        <v>100000</v>
      </c>
      <c r="Q23" s="22">
        <f>Hypothèses!$B$31</f>
        <v>100000</v>
      </c>
      <c r="R23" s="22">
        <f>Hypothèses!$B$31</f>
        <v>100000</v>
      </c>
      <c r="S23" s="22">
        <f>Hypothèses!$B$31</f>
        <v>100000</v>
      </c>
      <c r="T23" s="22">
        <f>Hypothèses!$B$31</f>
        <v>100000</v>
      </c>
      <c r="U23" s="22">
        <f>Hypothèses!$B$31</f>
        <v>100000</v>
      </c>
      <c r="V23" s="22">
        <f>Hypothèses!$B$31</f>
        <v>100000</v>
      </c>
      <c r="W23" s="22">
        <f>Hypothèses!$B$31</f>
        <v>100000</v>
      </c>
      <c r="X23" s="22">
        <f>Hypothèses!$B$31</f>
        <v>100000</v>
      </c>
      <c r="Y23" s="22">
        <f>Hypothèses!$B$31</f>
        <v>100000</v>
      </c>
      <c r="Z23" s="22">
        <f>Hypothèses!$B$31</f>
        <v>100000</v>
      </c>
      <c r="AA23" s="22">
        <f>Hypothèses!$B$31</f>
        <v>100000</v>
      </c>
      <c r="AB23" s="22">
        <f>Hypothèses!$B$31</f>
        <v>100000</v>
      </c>
      <c r="AC23" s="22">
        <f>Hypothèses!$B$31</f>
        <v>100000</v>
      </c>
      <c r="AD23" s="22">
        <f>Hypothèses!$B$31</f>
        <v>100000</v>
      </c>
      <c r="AE23" s="22">
        <f>Hypothèses!$B$31</f>
        <v>100000</v>
      </c>
      <c r="AF23" s="22">
        <f>Hypothèses!$B$31</f>
        <v>100000</v>
      </c>
      <c r="AG23" s="22">
        <f>Hypothèses!$B$31</f>
        <v>100000</v>
      </c>
      <c r="AH23" s="22">
        <f>Hypothèses!$B$31</f>
        <v>100000</v>
      </c>
      <c r="AI23" s="22">
        <f>Hypothèses!$B$31</f>
        <v>100000</v>
      </c>
      <c r="AJ23" s="22">
        <f>Hypothèses!$B$31</f>
        <v>100000</v>
      </c>
      <c r="AK23" s="22">
        <f>Hypothèses!$B$31</f>
        <v>100000</v>
      </c>
      <c r="AL23" s="22">
        <f>Hypothèses!$B$31</f>
        <v>100000</v>
      </c>
      <c r="AM23" s="22">
        <f>Hypothèses!$B$31</f>
        <v>100000</v>
      </c>
      <c r="AN23" s="22">
        <f>Hypothèses!$B$31</f>
        <v>100000</v>
      </c>
      <c r="AO23" s="22">
        <f>Hypothèses!$B$31</f>
        <v>100000</v>
      </c>
      <c r="AP23" s="22">
        <f>Hypothèses!$B$31</f>
        <v>100000</v>
      </c>
      <c r="AQ23" s="22">
        <f>Hypothèses!$B$31</f>
        <v>100000</v>
      </c>
    </row>
    <row r="24" spans="1:43" x14ac:dyDescent="0.3">
      <c r="A24" s="6" t="s">
        <v>73</v>
      </c>
      <c r="B24" s="22">
        <f t="shared" si="8"/>
        <v>0</v>
      </c>
      <c r="C24" s="22">
        <f t="shared" si="9"/>
        <v>900000</v>
      </c>
      <c r="D24" s="22">
        <f t="shared" si="10"/>
        <v>900000</v>
      </c>
      <c r="E24" s="22">
        <f t="shared" si="11"/>
        <v>900000</v>
      </c>
      <c r="F24" s="22">
        <f t="shared" si="12"/>
        <v>2700000</v>
      </c>
      <c r="G24" s="22">
        <v>0</v>
      </c>
      <c r="H24" s="22">
        <f>Hypothèses!$B$32</f>
        <v>75000</v>
      </c>
      <c r="I24" s="22">
        <f>Hypothèses!$B$32</f>
        <v>75000</v>
      </c>
      <c r="J24" s="22">
        <f>Hypothèses!$B$32</f>
        <v>75000</v>
      </c>
      <c r="K24" s="22">
        <f>Hypothèses!$B$32</f>
        <v>75000</v>
      </c>
      <c r="L24" s="22">
        <f>Hypothèses!$B$32</f>
        <v>75000</v>
      </c>
      <c r="M24" s="22">
        <f>Hypothèses!$B$32</f>
        <v>75000</v>
      </c>
      <c r="N24" s="22">
        <f>Hypothèses!$B$32</f>
        <v>75000</v>
      </c>
      <c r="O24" s="22">
        <f>Hypothèses!$B$32</f>
        <v>75000</v>
      </c>
      <c r="P24" s="22">
        <f>Hypothèses!$B$32</f>
        <v>75000</v>
      </c>
      <c r="Q24" s="22">
        <f>Hypothèses!$B$32</f>
        <v>75000</v>
      </c>
      <c r="R24" s="22">
        <f>Hypothèses!$B$32</f>
        <v>75000</v>
      </c>
      <c r="S24" s="22">
        <f>Hypothèses!$B$32</f>
        <v>75000</v>
      </c>
      <c r="T24" s="22">
        <f>Hypothèses!$B$32</f>
        <v>75000</v>
      </c>
      <c r="U24" s="22">
        <f>Hypothèses!$B$32</f>
        <v>75000</v>
      </c>
      <c r="V24" s="22">
        <f>Hypothèses!$B$32</f>
        <v>75000</v>
      </c>
      <c r="W24" s="22">
        <f>Hypothèses!$B$32</f>
        <v>75000</v>
      </c>
      <c r="X24" s="22">
        <f>Hypothèses!$B$32</f>
        <v>75000</v>
      </c>
      <c r="Y24" s="22">
        <f>Hypothèses!$B$32</f>
        <v>75000</v>
      </c>
      <c r="Z24" s="22">
        <f>Hypothèses!$B$32</f>
        <v>75000</v>
      </c>
      <c r="AA24" s="22">
        <f>Hypothèses!$B$32</f>
        <v>75000</v>
      </c>
      <c r="AB24" s="22">
        <f>Hypothèses!$B$32</f>
        <v>75000</v>
      </c>
      <c r="AC24" s="22">
        <f>Hypothèses!$B$32</f>
        <v>75000</v>
      </c>
      <c r="AD24" s="22">
        <f>Hypothèses!$B$32</f>
        <v>75000</v>
      </c>
      <c r="AE24" s="22">
        <f>Hypothèses!$B$32</f>
        <v>75000</v>
      </c>
      <c r="AF24" s="22">
        <f>Hypothèses!$B$32</f>
        <v>75000</v>
      </c>
      <c r="AG24" s="22">
        <f>Hypothèses!$B$32</f>
        <v>75000</v>
      </c>
      <c r="AH24" s="22">
        <f>Hypothèses!$B$32</f>
        <v>75000</v>
      </c>
      <c r="AI24" s="22">
        <f>Hypothèses!$B$32</f>
        <v>75000</v>
      </c>
      <c r="AJ24" s="22">
        <f>Hypothèses!$B$32</f>
        <v>75000</v>
      </c>
      <c r="AK24" s="22">
        <f>Hypothèses!$B$32</f>
        <v>75000</v>
      </c>
      <c r="AL24" s="22">
        <f>Hypothèses!$B$32</f>
        <v>75000</v>
      </c>
      <c r="AM24" s="22">
        <f>Hypothèses!$B$32</f>
        <v>75000</v>
      </c>
      <c r="AN24" s="22">
        <f>Hypothèses!$B$32</f>
        <v>75000</v>
      </c>
      <c r="AO24" s="22">
        <f>Hypothèses!$B$32</f>
        <v>75000</v>
      </c>
      <c r="AP24" s="22">
        <f>Hypothèses!$B$32</f>
        <v>75000</v>
      </c>
      <c r="AQ24" s="22">
        <f>Hypothèses!$B$32</f>
        <v>75000</v>
      </c>
    </row>
    <row r="25" spans="1:43" x14ac:dyDescent="0.3">
      <c r="A25" s="6" t="s">
        <v>314</v>
      </c>
      <c r="B25" s="22">
        <f t="shared" si="8"/>
        <v>0</v>
      </c>
      <c r="C25" s="22">
        <f t="shared" si="9"/>
        <v>0</v>
      </c>
      <c r="D25" s="22">
        <f t="shared" si="10"/>
        <v>2400000</v>
      </c>
      <c r="E25" s="22">
        <f t="shared" si="11"/>
        <v>2400000</v>
      </c>
      <c r="F25" s="22">
        <f t="shared" si="12"/>
        <v>4800000</v>
      </c>
      <c r="G25" s="22">
        <v>0</v>
      </c>
      <c r="H25" s="22">
        <f>IF(H$4&gt;=Hypothèses!$B$34,Hypothèses!$B$33,0)</f>
        <v>0</v>
      </c>
      <c r="I25" s="22">
        <f>IF(I$4&gt;=Hypothèses!$B$34,Hypothèses!$B$33,0)</f>
        <v>0</v>
      </c>
      <c r="J25" s="22">
        <f>IF(J$4&gt;=Hypothèses!$B$34,Hypothèses!$B$33,0)</f>
        <v>0</v>
      </c>
      <c r="K25" s="22">
        <f>IF(K$4&gt;=Hypothèses!$B$34,Hypothèses!$B$33,0)</f>
        <v>0</v>
      </c>
      <c r="L25" s="22">
        <f>IF(L$4&gt;=Hypothèses!$B$34,Hypothèses!$B$33,0)</f>
        <v>0</v>
      </c>
      <c r="M25" s="22">
        <f>IF(M$4&gt;=Hypothèses!$B$34,Hypothèses!$B$33,0)</f>
        <v>0</v>
      </c>
      <c r="N25" s="22">
        <f>IF(N$4&gt;=Hypothèses!$B$34,Hypothèses!$B$33,0)</f>
        <v>0</v>
      </c>
      <c r="O25" s="22">
        <f>IF(O$4&gt;=Hypothèses!$B$34,Hypothèses!$B$33,0)</f>
        <v>0</v>
      </c>
      <c r="P25" s="22">
        <f>IF(P$4&gt;=Hypothèses!$B$34,Hypothèses!$B$33,0)</f>
        <v>0</v>
      </c>
      <c r="Q25" s="22">
        <f>IF(Q$4&gt;=Hypothèses!$B$34,Hypothèses!$B$33,0)</f>
        <v>0</v>
      </c>
      <c r="R25" s="22">
        <f>IF(R$4&gt;=Hypothèses!$B$34,Hypothèses!$B$33,0)</f>
        <v>0</v>
      </c>
      <c r="S25" s="22">
        <f>IF(S$4&gt;=Hypothèses!$B$34,Hypothèses!$B$33,0)</f>
        <v>0</v>
      </c>
      <c r="T25" s="22">
        <f>IF(T$4&gt;=Hypothèses!$B$34,Hypothèses!$B$33,0)</f>
        <v>200000</v>
      </c>
      <c r="U25" s="22">
        <f>IF(U$4&gt;=Hypothèses!$B$34,Hypothèses!$B$33,0)</f>
        <v>200000</v>
      </c>
      <c r="V25" s="22">
        <f>IF(V$4&gt;=Hypothèses!$B$34,Hypothèses!$B$33,0)</f>
        <v>200000</v>
      </c>
      <c r="W25" s="22">
        <f>IF(W$4&gt;=Hypothèses!$B$34,Hypothèses!$B$33,0)</f>
        <v>200000</v>
      </c>
      <c r="X25" s="22">
        <f>IF(X$4&gt;=Hypothèses!$B$34,Hypothèses!$B$33,0)</f>
        <v>200000</v>
      </c>
      <c r="Y25" s="22">
        <f>IF(Y$4&gt;=Hypothèses!$B$34,Hypothèses!$B$33,0)</f>
        <v>200000</v>
      </c>
      <c r="Z25" s="22">
        <f>IF(Z$4&gt;=Hypothèses!$B$34,Hypothèses!$B$33,0)</f>
        <v>200000</v>
      </c>
      <c r="AA25" s="22">
        <f>IF(AA$4&gt;=Hypothèses!$B$34,Hypothèses!$B$33,0)</f>
        <v>200000</v>
      </c>
      <c r="AB25" s="22">
        <f>IF(AB$4&gt;=Hypothèses!$B$34,Hypothèses!$B$33,0)</f>
        <v>200000</v>
      </c>
      <c r="AC25" s="22">
        <f>IF(AC$4&gt;=Hypothèses!$B$34,Hypothèses!$B$33,0)</f>
        <v>200000</v>
      </c>
      <c r="AD25" s="22">
        <f>IF(AD$4&gt;=Hypothèses!$B$34,Hypothèses!$B$33,0)</f>
        <v>200000</v>
      </c>
      <c r="AE25" s="22">
        <f>IF(AE$4&gt;=Hypothèses!$B$34,Hypothèses!$B$33,0)</f>
        <v>200000</v>
      </c>
      <c r="AF25" s="22">
        <f>IF(AF$4&gt;=Hypothèses!$B$34,Hypothèses!$B$33,0)</f>
        <v>200000</v>
      </c>
      <c r="AG25" s="22">
        <f>IF(AG$4&gt;=Hypothèses!$B$34,Hypothèses!$B$33,0)</f>
        <v>200000</v>
      </c>
      <c r="AH25" s="22">
        <f>IF(AH$4&gt;=Hypothèses!$B$34,Hypothèses!$B$33,0)</f>
        <v>200000</v>
      </c>
      <c r="AI25" s="22">
        <f>IF(AI$4&gt;=Hypothèses!$B$34,Hypothèses!$B$33,0)</f>
        <v>200000</v>
      </c>
      <c r="AJ25" s="22">
        <f>IF(AJ$4&gt;=Hypothèses!$B$34,Hypothèses!$B$33,0)</f>
        <v>200000</v>
      </c>
      <c r="AK25" s="22">
        <f>IF(AK$4&gt;=Hypothèses!$B$34,Hypothèses!$B$33,0)</f>
        <v>200000</v>
      </c>
      <c r="AL25" s="22">
        <f>IF(AL$4&gt;=Hypothèses!$B$34,Hypothèses!$B$33,0)</f>
        <v>200000</v>
      </c>
      <c r="AM25" s="22">
        <f>IF(AM$4&gt;=Hypothèses!$B$34,Hypothèses!$B$33,0)</f>
        <v>200000</v>
      </c>
      <c r="AN25" s="22">
        <f>IF(AN$4&gt;=Hypothèses!$B$34,Hypothèses!$B$33,0)</f>
        <v>200000</v>
      </c>
      <c r="AO25" s="22">
        <f>IF(AO$4&gt;=Hypothèses!$B$34,Hypothèses!$B$33,0)</f>
        <v>200000</v>
      </c>
      <c r="AP25" s="22">
        <f>IF(AP$4&gt;=Hypothèses!$B$34,Hypothèses!$B$33,0)</f>
        <v>200000</v>
      </c>
      <c r="AQ25" s="22">
        <f>IF(AQ$4&gt;=Hypothèses!$B$34,Hypothèses!$B$33,0)</f>
        <v>200000</v>
      </c>
    </row>
    <row r="26" spans="1:43" x14ac:dyDescent="0.3">
      <c r="A26" s="6" t="s">
        <v>315</v>
      </c>
      <c r="B26" s="22">
        <f t="shared" si="8"/>
        <v>0</v>
      </c>
      <c r="C26" s="22">
        <f t="shared" si="9"/>
        <v>900000</v>
      </c>
      <c r="D26" s="22">
        <f t="shared" si="10"/>
        <v>0</v>
      </c>
      <c r="E26" s="22">
        <f t="shared" si="11"/>
        <v>0</v>
      </c>
      <c r="F26" s="22">
        <f t="shared" si="12"/>
        <v>900000</v>
      </c>
      <c r="G26" s="22">
        <v>0</v>
      </c>
      <c r="H26" s="22">
        <f>IF(H$4&lt;=12,Hypothèses!$B$35,0)</f>
        <v>75000</v>
      </c>
      <c r="I26" s="22">
        <f>IF(I$4&lt;=12,Hypothèses!$B$35,0)</f>
        <v>75000</v>
      </c>
      <c r="J26" s="22">
        <f>IF(J$4&lt;=12,Hypothèses!$B$35,0)</f>
        <v>75000</v>
      </c>
      <c r="K26" s="22">
        <f>IF(K$4&lt;=12,Hypothèses!$B$35,0)</f>
        <v>75000</v>
      </c>
      <c r="L26" s="22">
        <f>IF(L$4&lt;=12,Hypothèses!$B$35,0)</f>
        <v>75000</v>
      </c>
      <c r="M26" s="22">
        <f>IF(M$4&lt;=12,Hypothèses!$B$35,0)</f>
        <v>75000</v>
      </c>
      <c r="N26" s="22">
        <f>IF(N$4&lt;=12,Hypothèses!$B$35,0)</f>
        <v>75000</v>
      </c>
      <c r="O26" s="22">
        <f>IF(O$4&lt;=12,Hypothèses!$B$35,0)</f>
        <v>75000</v>
      </c>
      <c r="P26" s="22">
        <f>IF(P$4&lt;=12,Hypothèses!$B$35,0)</f>
        <v>75000</v>
      </c>
      <c r="Q26" s="22">
        <f>IF(Q$4&lt;=12,Hypothèses!$B$35,0)</f>
        <v>75000</v>
      </c>
      <c r="R26" s="22">
        <f>IF(R$4&lt;=12,Hypothèses!$B$35,0)</f>
        <v>75000</v>
      </c>
      <c r="S26" s="22">
        <f>IF(S$4&lt;=12,Hypothèses!$B$35,0)</f>
        <v>75000</v>
      </c>
      <c r="T26" s="22">
        <f>IF(T$4&lt;=12,Hypothèses!$B$35,0)</f>
        <v>0</v>
      </c>
      <c r="U26" s="22">
        <f>IF(U$4&lt;=12,Hypothèses!$B$35,0)</f>
        <v>0</v>
      </c>
      <c r="V26" s="22">
        <f>IF(V$4&lt;=12,Hypothèses!$B$35,0)</f>
        <v>0</v>
      </c>
      <c r="W26" s="22">
        <f>IF(W$4&lt;=12,Hypothèses!$B$35,0)</f>
        <v>0</v>
      </c>
      <c r="X26" s="22">
        <f>IF(X$4&lt;=12,Hypothèses!$B$35,0)</f>
        <v>0</v>
      </c>
      <c r="Y26" s="22">
        <f>IF(Y$4&lt;=12,Hypothèses!$B$35,0)</f>
        <v>0</v>
      </c>
      <c r="Z26" s="22">
        <f>IF(Z$4&lt;=12,Hypothèses!$B$35,0)</f>
        <v>0</v>
      </c>
      <c r="AA26" s="22">
        <f>IF(AA$4&lt;=12,Hypothèses!$B$35,0)</f>
        <v>0</v>
      </c>
      <c r="AB26" s="22">
        <f>IF(AB$4&lt;=12,Hypothèses!$B$35,0)</f>
        <v>0</v>
      </c>
      <c r="AC26" s="22">
        <f>IF(AC$4&lt;=12,Hypothèses!$B$35,0)</f>
        <v>0</v>
      </c>
      <c r="AD26" s="22">
        <f>IF(AD$4&lt;=12,Hypothèses!$B$35,0)</f>
        <v>0</v>
      </c>
      <c r="AE26" s="22">
        <f>IF(AE$4&lt;=12,Hypothèses!$B$35,0)</f>
        <v>0</v>
      </c>
      <c r="AF26" s="22">
        <f>IF(AF$4&lt;=12,Hypothèses!$B$35,0)</f>
        <v>0</v>
      </c>
      <c r="AG26" s="22">
        <f>IF(AG$4&lt;=12,Hypothèses!$B$35,0)</f>
        <v>0</v>
      </c>
      <c r="AH26" s="22">
        <f>IF(AH$4&lt;=12,Hypothèses!$B$35,0)</f>
        <v>0</v>
      </c>
      <c r="AI26" s="22">
        <f>IF(AI$4&lt;=12,Hypothèses!$B$35,0)</f>
        <v>0</v>
      </c>
      <c r="AJ26" s="22">
        <f>IF(AJ$4&lt;=12,Hypothèses!$B$35,0)</f>
        <v>0</v>
      </c>
      <c r="AK26" s="22">
        <f>IF(AK$4&lt;=12,Hypothèses!$B$35,0)</f>
        <v>0</v>
      </c>
      <c r="AL26" s="22">
        <f>IF(AL$4&lt;=12,Hypothèses!$B$35,0)</f>
        <v>0</v>
      </c>
      <c r="AM26" s="22">
        <f>IF(AM$4&lt;=12,Hypothèses!$B$35,0)</f>
        <v>0</v>
      </c>
      <c r="AN26" s="22">
        <f>IF(AN$4&lt;=12,Hypothèses!$B$35,0)</f>
        <v>0</v>
      </c>
      <c r="AO26" s="22">
        <f>IF(AO$4&lt;=12,Hypothèses!$B$35,0)</f>
        <v>0</v>
      </c>
      <c r="AP26" s="22">
        <f>IF(AP$4&lt;=12,Hypothèses!$B$35,0)</f>
        <v>0</v>
      </c>
      <c r="AQ26" s="22">
        <f>IF(AQ$4&lt;=12,Hypothèses!$B$35,0)</f>
        <v>0</v>
      </c>
    </row>
    <row r="27" spans="1:43" x14ac:dyDescent="0.3">
      <c r="A27" s="6" t="s">
        <v>80</v>
      </c>
      <c r="B27" s="22">
        <f t="shared" si="8"/>
        <v>0</v>
      </c>
      <c r="C27" s="22">
        <f t="shared" si="9"/>
        <v>1200000</v>
      </c>
      <c r="D27" s="22">
        <f t="shared" si="10"/>
        <v>1200000</v>
      </c>
      <c r="E27" s="22">
        <f t="shared" si="11"/>
        <v>1200000</v>
      </c>
      <c r="F27" s="22">
        <f t="shared" si="12"/>
        <v>3600000</v>
      </c>
      <c r="G27" s="22">
        <v>0</v>
      </c>
      <c r="H27" s="22">
        <f>Hypothèses!$B$36</f>
        <v>100000</v>
      </c>
      <c r="I27" s="22">
        <f>Hypothèses!$B$36</f>
        <v>100000</v>
      </c>
      <c r="J27" s="22">
        <f>Hypothèses!$B$36</f>
        <v>100000</v>
      </c>
      <c r="K27" s="22">
        <f>Hypothèses!$B$36</f>
        <v>100000</v>
      </c>
      <c r="L27" s="22">
        <f>Hypothèses!$B$36</f>
        <v>100000</v>
      </c>
      <c r="M27" s="22">
        <f>Hypothèses!$B$36</f>
        <v>100000</v>
      </c>
      <c r="N27" s="22">
        <f>Hypothèses!$B$36</f>
        <v>100000</v>
      </c>
      <c r="O27" s="22">
        <f>Hypothèses!$B$36</f>
        <v>100000</v>
      </c>
      <c r="P27" s="22">
        <f>Hypothèses!$B$36</f>
        <v>100000</v>
      </c>
      <c r="Q27" s="22">
        <f>Hypothèses!$B$36</f>
        <v>100000</v>
      </c>
      <c r="R27" s="22">
        <f>Hypothèses!$B$36</f>
        <v>100000</v>
      </c>
      <c r="S27" s="22">
        <f>Hypothèses!$B$36</f>
        <v>100000</v>
      </c>
      <c r="T27" s="22">
        <f>Hypothèses!$B$36</f>
        <v>100000</v>
      </c>
      <c r="U27" s="22">
        <f>Hypothèses!$B$36</f>
        <v>100000</v>
      </c>
      <c r="V27" s="22">
        <f>Hypothèses!$B$36</f>
        <v>100000</v>
      </c>
      <c r="W27" s="22">
        <f>Hypothèses!$B$36</f>
        <v>100000</v>
      </c>
      <c r="X27" s="22">
        <f>Hypothèses!$B$36</f>
        <v>100000</v>
      </c>
      <c r="Y27" s="22">
        <f>Hypothèses!$B$36</f>
        <v>100000</v>
      </c>
      <c r="Z27" s="22">
        <f>Hypothèses!$B$36</f>
        <v>100000</v>
      </c>
      <c r="AA27" s="22">
        <f>Hypothèses!$B$36</f>
        <v>100000</v>
      </c>
      <c r="AB27" s="22">
        <f>Hypothèses!$B$36</f>
        <v>100000</v>
      </c>
      <c r="AC27" s="22">
        <f>Hypothèses!$B$36</f>
        <v>100000</v>
      </c>
      <c r="AD27" s="22">
        <f>Hypothèses!$B$36</f>
        <v>100000</v>
      </c>
      <c r="AE27" s="22">
        <f>Hypothèses!$B$36</f>
        <v>100000</v>
      </c>
      <c r="AF27" s="22">
        <f>Hypothèses!$B$36</f>
        <v>100000</v>
      </c>
      <c r="AG27" s="22">
        <f>Hypothèses!$B$36</f>
        <v>100000</v>
      </c>
      <c r="AH27" s="22">
        <f>Hypothèses!$B$36</f>
        <v>100000</v>
      </c>
      <c r="AI27" s="22">
        <f>Hypothèses!$B$36</f>
        <v>100000</v>
      </c>
      <c r="AJ27" s="22">
        <f>Hypothèses!$B$36</f>
        <v>100000</v>
      </c>
      <c r="AK27" s="22">
        <f>Hypothèses!$B$36</f>
        <v>100000</v>
      </c>
      <c r="AL27" s="22">
        <f>Hypothèses!$B$36</f>
        <v>100000</v>
      </c>
      <c r="AM27" s="22">
        <f>Hypothèses!$B$36</f>
        <v>100000</v>
      </c>
      <c r="AN27" s="22">
        <f>Hypothèses!$B$36</f>
        <v>100000</v>
      </c>
      <c r="AO27" s="22">
        <f>Hypothèses!$B$36</f>
        <v>100000</v>
      </c>
      <c r="AP27" s="22">
        <f>Hypothèses!$B$36</f>
        <v>100000</v>
      </c>
      <c r="AQ27" s="22">
        <f>Hypothèses!$B$36</f>
        <v>100000</v>
      </c>
    </row>
    <row r="28" spans="1:43" x14ac:dyDescent="0.3">
      <c r="A28" s="6" t="s">
        <v>81</v>
      </c>
      <c r="B28" s="22">
        <f t="shared" si="8"/>
        <v>0</v>
      </c>
      <c r="C28" s="22">
        <f t="shared" si="9"/>
        <v>600000</v>
      </c>
      <c r="D28" s="22">
        <f t="shared" si="10"/>
        <v>600000</v>
      </c>
      <c r="E28" s="22">
        <f t="shared" si="11"/>
        <v>600000</v>
      </c>
      <c r="F28" s="22">
        <f t="shared" si="12"/>
        <v>1800000</v>
      </c>
      <c r="G28" s="22">
        <v>0</v>
      </c>
      <c r="H28" s="22">
        <f>Hypothèses!$B$37</f>
        <v>50000</v>
      </c>
      <c r="I28" s="22">
        <f>Hypothèses!$B$37</f>
        <v>50000</v>
      </c>
      <c r="J28" s="22">
        <f>Hypothèses!$B$37</f>
        <v>50000</v>
      </c>
      <c r="K28" s="22">
        <f>Hypothèses!$B$37</f>
        <v>50000</v>
      </c>
      <c r="L28" s="22">
        <f>Hypothèses!$B$37</f>
        <v>50000</v>
      </c>
      <c r="M28" s="22">
        <f>Hypothèses!$B$37</f>
        <v>50000</v>
      </c>
      <c r="N28" s="22">
        <f>Hypothèses!$B$37</f>
        <v>50000</v>
      </c>
      <c r="O28" s="22">
        <f>Hypothèses!$B$37</f>
        <v>50000</v>
      </c>
      <c r="P28" s="22">
        <f>Hypothèses!$B$37</f>
        <v>50000</v>
      </c>
      <c r="Q28" s="22">
        <f>Hypothèses!$B$37</f>
        <v>50000</v>
      </c>
      <c r="R28" s="22">
        <f>Hypothèses!$B$37</f>
        <v>50000</v>
      </c>
      <c r="S28" s="22">
        <f>Hypothèses!$B$37</f>
        <v>50000</v>
      </c>
      <c r="T28" s="22">
        <f>Hypothèses!$B$37</f>
        <v>50000</v>
      </c>
      <c r="U28" s="22">
        <f>Hypothèses!$B$37</f>
        <v>50000</v>
      </c>
      <c r="V28" s="22">
        <f>Hypothèses!$B$37</f>
        <v>50000</v>
      </c>
      <c r="W28" s="22">
        <f>Hypothèses!$B$37</f>
        <v>50000</v>
      </c>
      <c r="X28" s="22">
        <f>Hypothèses!$B$37</f>
        <v>50000</v>
      </c>
      <c r="Y28" s="22">
        <f>Hypothèses!$B$37</f>
        <v>50000</v>
      </c>
      <c r="Z28" s="22">
        <f>Hypothèses!$B$37</f>
        <v>50000</v>
      </c>
      <c r="AA28" s="22">
        <f>Hypothèses!$B$37</f>
        <v>50000</v>
      </c>
      <c r="AB28" s="22">
        <f>Hypothèses!$B$37</f>
        <v>50000</v>
      </c>
      <c r="AC28" s="22">
        <f>Hypothèses!$B$37</f>
        <v>50000</v>
      </c>
      <c r="AD28" s="22">
        <f>Hypothèses!$B$37</f>
        <v>50000</v>
      </c>
      <c r="AE28" s="22">
        <f>Hypothèses!$B$37</f>
        <v>50000</v>
      </c>
      <c r="AF28" s="22">
        <f>Hypothèses!$B$37</f>
        <v>50000</v>
      </c>
      <c r="AG28" s="22">
        <f>Hypothèses!$B$37</f>
        <v>50000</v>
      </c>
      <c r="AH28" s="22">
        <f>Hypothèses!$B$37</f>
        <v>50000</v>
      </c>
      <c r="AI28" s="22">
        <f>Hypothèses!$B$37</f>
        <v>50000</v>
      </c>
      <c r="AJ28" s="22">
        <f>Hypothèses!$B$37</f>
        <v>50000</v>
      </c>
      <c r="AK28" s="22">
        <f>Hypothèses!$B$37</f>
        <v>50000</v>
      </c>
      <c r="AL28" s="22">
        <f>Hypothèses!$B$37</f>
        <v>50000</v>
      </c>
      <c r="AM28" s="22">
        <f>Hypothèses!$B$37</f>
        <v>50000</v>
      </c>
      <c r="AN28" s="22">
        <f>Hypothèses!$B$37</f>
        <v>50000</v>
      </c>
      <c r="AO28" s="22">
        <f>Hypothèses!$B$37</f>
        <v>50000</v>
      </c>
      <c r="AP28" s="22">
        <f>Hypothèses!$B$37</f>
        <v>50000</v>
      </c>
      <c r="AQ28" s="22">
        <f>Hypothèses!$B$37</f>
        <v>50000</v>
      </c>
    </row>
    <row r="29" spans="1:43" x14ac:dyDescent="0.3">
      <c r="A29" s="6" t="s">
        <v>82</v>
      </c>
      <c r="B29" s="22">
        <f t="shared" si="8"/>
        <v>0</v>
      </c>
      <c r="C29" s="22">
        <f t="shared" si="9"/>
        <v>600000</v>
      </c>
      <c r="D29" s="22">
        <f t="shared" si="10"/>
        <v>600000</v>
      </c>
      <c r="E29" s="22">
        <f t="shared" si="11"/>
        <v>600000</v>
      </c>
      <c r="F29" s="22">
        <f t="shared" si="12"/>
        <v>1800000</v>
      </c>
      <c r="G29" s="22">
        <v>0</v>
      </c>
      <c r="H29" s="22">
        <f>Hypothèses!$B$38</f>
        <v>50000</v>
      </c>
      <c r="I29" s="22">
        <f>Hypothèses!$B$38</f>
        <v>50000</v>
      </c>
      <c r="J29" s="22">
        <f>Hypothèses!$B$38</f>
        <v>50000</v>
      </c>
      <c r="K29" s="22">
        <f>Hypothèses!$B$38</f>
        <v>50000</v>
      </c>
      <c r="L29" s="22">
        <f>Hypothèses!$B$38</f>
        <v>50000</v>
      </c>
      <c r="M29" s="22">
        <f>Hypothèses!$B$38</f>
        <v>50000</v>
      </c>
      <c r="N29" s="22">
        <f>Hypothèses!$B$38</f>
        <v>50000</v>
      </c>
      <c r="O29" s="22">
        <f>Hypothèses!$B$38</f>
        <v>50000</v>
      </c>
      <c r="P29" s="22">
        <f>Hypothèses!$B$38</f>
        <v>50000</v>
      </c>
      <c r="Q29" s="22">
        <f>Hypothèses!$B$38</f>
        <v>50000</v>
      </c>
      <c r="R29" s="22">
        <f>Hypothèses!$B$38</f>
        <v>50000</v>
      </c>
      <c r="S29" s="22">
        <f>Hypothèses!$B$38</f>
        <v>50000</v>
      </c>
      <c r="T29" s="22">
        <f>Hypothèses!$B$38</f>
        <v>50000</v>
      </c>
      <c r="U29" s="22">
        <f>Hypothèses!$B$38</f>
        <v>50000</v>
      </c>
      <c r="V29" s="22">
        <f>Hypothèses!$B$38</f>
        <v>50000</v>
      </c>
      <c r="W29" s="22">
        <f>Hypothèses!$B$38</f>
        <v>50000</v>
      </c>
      <c r="X29" s="22">
        <f>Hypothèses!$B$38</f>
        <v>50000</v>
      </c>
      <c r="Y29" s="22">
        <f>Hypothèses!$B$38</f>
        <v>50000</v>
      </c>
      <c r="Z29" s="22">
        <f>Hypothèses!$B$38</f>
        <v>50000</v>
      </c>
      <c r="AA29" s="22">
        <f>Hypothèses!$B$38</f>
        <v>50000</v>
      </c>
      <c r="AB29" s="22">
        <f>Hypothèses!$B$38</f>
        <v>50000</v>
      </c>
      <c r="AC29" s="22">
        <f>Hypothèses!$B$38</f>
        <v>50000</v>
      </c>
      <c r="AD29" s="22">
        <f>Hypothèses!$B$38</f>
        <v>50000</v>
      </c>
      <c r="AE29" s="22">
        <f>Hypothèses!$B$38</f>
        <v>50000</v>
      </c>
      <c r="AF29" s="22">
        <f>Hypothèses!$B$38</f>
        <v>50000</v>
      </c>
      <c r="AG29" s="22">
        <f>Hypothèses!$B$38</f>
        <v>50000</v>
      </c>
      <c r="AH29" s="22">
        <f>Hypothèses!$B$38</f>
        <v>50000</v>
      </c>
      <c r="AI29" s="22">
        <f>Hypothèses!$B$38</f>
        <v>50000</v>
      </c>
      <c r="AJ29" s="22">
        <f>Hypothèses!$B$38</f>
        <v>50000</v>
      </c>
      <c r="AK29" s="22">
        <f>Hypothèses!$B$38</f>
        <v>50000</v>
      </c>
      <c r="AL29" s="22">
        <f>Hypothèses!$B$38</f>
        <v>50000</v>
      </c>
      <c r="AM29" s="22">
        <f>Hypothèses!$B$38</f>
        <v>50000</v>
      </c>
      <c r="AN29" s="22">
        <f>Hypothèses!$B$38</f>
        <v>50000</v>
      </c>
      <c r="AO29" s="22">
        <f>Hypothèses!$B$38</f>
        <v>50000</v>
      </c>
      <c r="AP29" s="22">
        <f>Hypothèses!$B$38</f>
        <v>50000</v>
      </c>
      <c r="AQ29" s="22">
        <f>Hypothèses!$B$38</f>
        <v>50000</v>
      </c>
    </row>
    <row r="30" spans="1:43" x14ac:dyDescent="0.3">
      <c r="A30" s="6" t="s">
        <v>316</v>
      </c>
      <c r="B30" s="22">
        <f t="shared" si="8"/>
        <v>0</v>
      </c>
      <c r="C30" s="22">
        <f t="shared" si="9"/>
        <v>300000</v>
      </c>
      <c r="D30" s="22">
        <f t="shared" si="10"/>
        <v>300000</v>
      </c>
      <c r="E30" s="22">
        <f t="shared" si="11"/>
        <v>300000</v>
      </c>
      <c r="F30" s="22">
        <f t="shared" si="12"/>
        <v>900000</v>
      </c>
      <c r="G30" s="22">
        <v>0</v>
      </c>
      <c r="H30" s="22">
        <f>IF(MOD(H$4,3)=0,Hypothèses!$B$39,0)</f>
        <v>0</v>
      </c>
      <c r="I30" s="22">
        <f>IF(MOD(I$4,3)=0,Hypothèses!$B$39,0)</f>
        <v>0</v>
      </c>
      <c r="J30" s="22">
        <f>IF(MOD(J$4,3)=0,Hypothèses!$B$39,0)</f>
        <v>75000</v>
      </c>
      <c r="K30" s="22">
        <f>IF(MOD(K$4,3)=0,Hypothèses!$B$39,0)</f>
        <v>0</v>
      </c>
      <c r="L30" s="22">
        <f>IF(MOD(L$4,3)=0,Hypothèses!$B$39,0)</f>
        <v>0</v>
      </c>
      <c r="M30" s="22">
        <f>IF(MOD(M$4,3)=0,Hypothèses!$B$39,0)</f>
        <v>75000</v>
      </c>
      <c r="N30" s="22">
        <f>IF(MOD(N$4,3)=0,Hypothèses!$B$39,0)</f>
        <v>0</v>
      </c>
      <c r="O30" s="22">
        <f>IF(MOD(O$4,3)=0,Hypothèses!$B$39,0)</f>
        <v>0</v>
      </c>
      <c r="P30" s="22">
        <f>IF(MOD(P$4,3)=0,Hypothèses!$B$39,0)</f>
        <v>75000</v>
      </c>
      <c r="Q30" s="22">
        <f>IF(MOD(Q$4,3)=0,Hypothèses!$B$39,0)</f>
        <v>0</v>
      </c>
      <c r="R30" s="22">
        <f>IF(MOD(R$4,3)=0,Hypothèses!$B$39,0)</f>
        <v>0</v>
      </c>
      <c r="S30" s="22">
        <f>IF(MOD(S$4,3)=0,Hypothèses!$B$39,0)</f>
        <v>75000</v>
      </c>
      <c r="T30" s="22">
        <f>IF(MOD(T$4,3)=0,Hypothèses!$B$39,0)</f>
        <v>0</v>
      </c>
      <c r="U30" s="22">
        <f>IF(MOD(U$4,3)=0,Hypothèses!$B$39,0)</f>
        <v>0</v>
      </c>
      <c r="V30" s="22">
        <f>IF(MOD(V$4,3)=0,Hypothèses!$B$39,0)</f>
        <v>75000</v>
      </c>
      <c r="W30" s="22">
        <f>IF(MOD(W$4,3)=0,Hypothèses!$B$39,0)</f>
        <v>0</v>
      </c>
      <c r="X30" s="22">
        <f>IF(MOD(X$4,3)=0,Hypothèses!$B$39,0)</f>
        <v>0</v>
      </c>
      <c r="Y30" s="22">
        <f>IF(MOD(Y$4,3)=0,Hypothèses!$B$39,0)</f>
        <v>75000</v>
      </c>
      <c r="Z30" s="22">
        <f>IF(MOD(Z$4,3)=0,Hypothèses!$B$39,0)</f>
        <v>0</v>
      </c>
      <c r="AA30" s="22">
        <f>IF(MOD(AA$4,3)=0,Hypothèses!$B$39,0)</f>
        <v>0</v>
      </c>
      <c r="AB30" s="22">
        <f>IF(MOD(AB$4,3)=0,Hypothèses!$B$39,0)</f>
        <v>75000</v>
      </c>
      <c r="AC30" s="22">
        <f>IF(MOD(AC$4,3)=0,Hypothèses!$B$39,0)</f>
        <v>0</v>
      </c>
      <c r="AD30" s="22">
        <f>IF(MOD(AD$4,3)=0,Hypothèses!$B$39,0)</f>
        <v>0</v>
      </c>
      <c r="AE30" s="22">
        <f>IF(MOD(AE$4,3)=0,Hypothèses!$B$39,0)</f>
        <v>75000</v>
      </c>
      <c r="AF30" s="22">
        <f>IF(MOD(AF$4,3)=0,Hypothèses!$B$39,0)</f>
        <v>0</v>
      </c>
      <c r="AG30" s="22">
        <f>IF(MOD(AG$4,3)=0,Hypothèses!$B$39,0)</f>
        <v>0</v>
      </c>
      <c r="AH30" s="22">
        <f>IF(MOD(AH$4,3)=0,Hypothèses!$B$39,0)</f>
        <v>75000</v>
      </c>
      <c r="AI30" s="22">
        <f>IF(MOD(AI$4,3)=0,Hypothèses!$B$39,0)</f>
        <v>0</v>
      </c>
      <c r="AJ30" s="22">
        <f>IF(MOD(AJ$4,3)=0,Hypothèses!$B$39,0)</f>
        <v>0</v>
      </c>
      <c r="AK30" s="22">
        <f>IF(MOD(AK$4,3)=0,Hypothèses!$B$39,0)</f>
        <v>75000</v>
      </c>
      <c r="AL30" s="22">
        <f>IF(MOD(AL$4,3)=0,Hypothèses!$B$39,0)</f>
        <v>0</v>
      </c>
      <c r="AM30" s="22">
        <f>IF(MOD(AM$4,3)=0,Hypothèses!$B$39,0)</f>
        <v>0</v>
      </c>
      <c r="AN30" s="22">
        <f>IF(MOD(AN$4,3)=0,Hypothèses!$B$39,0)</f>
        <v>75000</v>
      </c>
      <c r="AO30" s="22">
        <f>IF(MOD(AO$4,3)=0,Hypothèses!$B$39,0)</f>
        <v>0</v>
      </c>
      <c r="AP30" s="22">
        <f>IF(MOD(AP$4,3)=0,Hypothèses!$B$39,0)</f>
        <v>0</v>
      </c>
      <c r="AQ30" s="22">
        <f>IF(MOD(AQ$4,3)=0,Hypothèses!$B$39,0)</f>
        <v>75000</v>
      </c>
    </row>
    <row r="31" spans="1:43" x14ac:dyDescent="0.3">
      <c r="A31" s="6" t="s">
        <v>317</v>
      </c>
      <c r="B31" s="22">
        <f t="shared" si="8"/>
        <v>0</v>
      </c>
      <c r="C31" s="22">
        <f t="shared" si="9"/>
        <v>200000</v>
      </c>
      <c r="D31" s="22">
        <f t="shared" si="10"/>
        <v>200000</v>
      </c>
      <c r="E31" s="22">
        <f t="shared" si="11"/>
        <v>200000</v>
      </c>
      <c r="F31" s="22">
        <f t="shared" si="12"/>
        <v>600000</v>
      </c>
      <c r="G31" s="22">
        <v>0</v>
      </c>
      <c r="H31" s="22">
        <f>IF(MOD(H$4,3)=0,Hypothèses!$B$40,0)</f>
        <v>0</v>
      </c>
      <c r="I31" s="22">
        <f>IF(MOD(I$4,3)=0,Hypothèses!$B$40,0)</f>
        <v>0</v>
      </c>
      <c r="J31" s="22">
        <f>IF(MOD(J$4,3)=0,Hypothèses!$B$40,0)</f>
        <v>50000</v>
      </c>
      <c r="K31" s="22">
        <f>IF(MOD(K$4,3)=0,Hypothèses!$B$40,0)</f>
        <v>0</v>
      </c>
      <c r="L31" s="22">
        <f>IF(MOD(L$4,3)=0,Hypothèses!$B$40,0)</f>
        <v>0</v>
      </c>
      <c r="M31" s="22">
        <f>IF(MOD(M$4,3)=0,Hypothèses!$B$40,0)</f>
        <v>50000</v>
      </c>
      <c r="N31" s="22">
        <f>IF(MOD(N$4,3)=0,Hypothèses!$B$40,0)</f>
        <v>0</v>
      </c>
      <c r="O31" s="22">
        <f>IF(MOD(O$4,3)=0,Hypothèses!$B$40,0)</f>
        <v>0</v>
      </c>
      <c r="P31" s="22">
        <f>IF(MOD(P$4,3)=0,Hypothèses!$B$40,0)</f>
        <v>50000</v>
      </c>
      <c r="Q31" s="22">
        <f>IF(MOD(Q$4,3)=0,Hypothèses!$B$40,0)</f>
        <v>0</v>
      </c>
      <c r="R31" s="22">
        <f>IF(MOD(R$4,3)=0,Hypothèses!$B$40,0)</f>
        <v>0</v>
      </c>
      <c r="S31" s="22">
        <f>IF(MOD(S$4,3)=0,Hypothèses!$B$40,0)</f>
        <v>50000</v>
      </c>
      <c r="T31" s="22">
        <f>IF(MOD(T$4,3)=0,Hypothèses!$B$40,0)</f>
        <v>0</v>
      </c>
      <c r="U31" s="22">
        <f>IF(MOD(U$4,3)=0,Hypothèses!$B$40,0)</f>
        <v>0</v>
      </c>
      <c r="V31" s="22">
        <f>IF(MOD(V$4,3)=0,Hypothèses!$B$40,0)</f>
        <v>50000</v>
      </c>
      <c r="W31" s="22">
        <f>IF(MOD(W$4,3)=0,Hypothèses!$B$40,0)</f>
        <v>0</v>
      </c>
      <c r="X31" s="22">
        <f>IF(MOD(X$4,3)=0,Hypothèses!$B$40,0)</f>
        <v>0</v>
      </c>
      <c r="Y31" s="22">
        <f>IF(MOD(Y$4,3)=0,Hypothèses!$B$40,0)</f>
        <v>50000</v>
      </c>
      <c r="Z31" s="22">
        <f>IF(MOD(Z$4,3)=0,Hypothèses!$B$40,0)</f>
        <v>0</v>
      </c>
      <c r="AA31" s="22">
        <f>IF(MOD(AA$4,3)=0,Hypothèses!$B$40,0)</f>
        <v>0</v>
      </c>
      <c r="AB31" s="22">
        <f>IF(MOD(AB$4,3)=0,Hypothèses!$B$40,0)</f>
        <v>50000</v>
      </c>
      <c r="AC31" s="22">
        <f>IF(MOD(AC$4,3)=0,Hypothèses!$B$40,0)</f>
        <v>0</v>
      </c>
      <c r="AD31" s="22">
        <f>IF(MOD(AD$4,3)=0,Hypothèses!$B$40,0)</f>
        <v>0</v>
      </c>
      <c r="AE31" s="22">
        <f>IF(MOD(AE$4,3)=0,Hypothèses!$B$40,0)</f>
        <v>50000</v>
      </c>
      <c r="AF31" s="22">
        <f>IF(MOD(AF$4,3)=0,Hypothèses!$B$40,0)</f>
        <v>0</v>
      </c>
      <c r="AG31" s="22">
        <f>IF(MOD(AG$4,3)=0,Hypothèses!$B$40,0)</f>
        <v>0</v>
      </c>
      <c r="AH31" s="22">
        <f>IF(MOD(AH$4,3)=0,Hypothèses!$B$40,0)</f>
        <v>50000</v>
      </c>
      <c r="AI31" s="22">
        <f>IF(MOD(AI$4,3)=0,Hypothèses!$B$40,0)</f>
        <v>0</v>
      </c>
      <c r="AJ31" s="22">
        <f>IF(MOD(AJ$4,3)=0,Hypothèses!$B$40,0)</f>
        <v>0</v>
      </c>
      <c r="AK31" s="22">
        <f>IF(MOD(AK$4,3)=0,Hypothèses!$B$40,0)</f>
        <v>50000</v>
      </c>
      <c r="AL31" s="22">
        <f>IF(MOD(AL$4,3)=0,Hypothèses!$B$40,0)</f>
        <v>0</v>
      </c>
      <c r="AM31" s="22">
        <f>IF(MOD(AM$4,3)=0,Hypothèses!$B$40,0)</f>
        <v>0</v>
      </c>
      <c r="AN31" s="22">
        <f>IF(MOD(AN$4,3)=0,Hypothèses!$B$40,0)</f>
        <v>50000</v>
      </c>
      <c r="AO31" s="22">
        <f>IF(MOD(AO$4,3)=0,Hypothèses!$B$40,0)</f>
        <v>0</v>
      </c>
      <c r="AP31" s="22">
        <f>IF(MOD(AP$4,3)=0,Hypothèses!$B$40,0)</f>
        <v>0</v>
      </c>
      <c r="AQ31" s="22">
        <f>IF(MOD(AQ$4,3)=0,Hypothèses!$B$40,0)</f>
        <v>50000</v>
      </c>
    </row>
    <row r="32" spans="1:43" x14ac:dyDescent="0.3">
      <c r="A32" s="6" t="s">
        <v>318</v>
      </c>
      <c r="B32" s="22">
        <f t="shared" si="8"/>
        <v>0</v>
      </c>
      <c r="C32" s="22">
        <f t="shared" si="9"/>
        <v>600000</v>
      </c>
      <c r="D32" s="22">
        <f t="shared" si="10"/>
        <v>0</v>
      </c>
      <c r="E32" s="22">
        <f t="shared" si="11"/>
        <v>0</v>
      </c>
      <c r="F32" s="22">
        <f t="shared" si="12"/>
        <v>600000</v>
      </c>
      <c r="G32" s="22">
        <v>0</v>
      </c>
      <c r="H32" s="22">
        <f>IF(H$4&lt;=Hypothèses!$B$42,Hypothèses!$B$41,0)</f>
        <v>100000</v>
      </c>
      <c r="I32" s="22">
        <f>IF(I$4&lt;=Hypothèses!$B$42,Hypothèses!$B$41,0)</f>
        <v>100000</v>
      </c>
      <c r="J32" s="22">
        <f>IF(J$4&lt;=Hypothèses!$B$42,Hypothèses!$B$41,0)</f>
        <v>100000</v>
      </c>
      <c r="K32" s="22">
        <f>IF(K$4&lt;=Hypothèses!$B$42,Hypothèses!$B$41,0)</f>
        <v>100000</v>
      </c>
      <c r="L32" s="22">
        <f>IF(L$4&lt;=Hypothèses!$B$42,Hypothèses!$B$41,0)</f>
        <v>100000</v>
      </c>
      <c r="M32" s="22">
        <f>IF(M$4&lt;=Hypothèses!$B$42,Hypothèses!$B$41,0)</f>
        <v>100000</v>
      </c>
      <c r="N32" s="22">
        <f>IF(N$4&lt;=Hypothèses!$B$42,Hypothèses!$B$41,0)</f>
        <v>0</v>
      </c>
      <c r="O32" s="22">
        <f>IF(O$4&lt;=Hypothèses!$B$42,Hypothèses!$B$41,0)</f>
        <v>0</v>
      </c>
      <c r="P32" s="22">
        <f>IF(P$4&lt;=Hypothèses!$B$42,Hypothèses!$B$41,0)</f>
        <v>0</v>
      </c>
      <c r="Q32" s="22">
        <f>IF(Q$4&lt;=Hypothèses!$B$42,Hypothèses!$B$41,0)</f>
        <v>0</v>
      </c>
      <c r="R32" s="22">
        <f>IF(R$4&lt;=Hypothèses!$B$42,Hypothèses!$B$41,0)</f>
        <v>0</v>
      </c>
      <c r="S32" s="22">
        <f>IF(S$4&lt;=Hypothèses!$B$42,Hypothèses!$B$41,0)</f>
        <v>0</v>
      </c>
      <c r="T32" s="22">
        <f>IF(T$4&lt;=Hypothèses!$B$42,Hypothèses!$B$41,0)</f>
        <v>0</v>
      </c>
      <c r="U32" s="22">
        <f>IF(U$4&lt;=Hypothèses!$B$42,Hypothèses!$B$41,0)</f>
        <v>0</v>
      </c>
      <c r="V32" s="22">
        <f>IF(V$4&lt;=Hypothèses!$B$42,Hypothèses!$B$41,0)</f>
        <v>0</v>
      </c>
      <c r="W32" s="22">
        <f>IF(W$4&lt;=Hypothèses!$B$42,Hypothèses!$B$41,0)</f>
        <v>0</v>
      </c>
      <c r="X32" s="22">
        <f>IF(X$4&lt;=Hypothèses!$B$42,Hypothèses!$B$41,0)</f>
        <v>0</v>
      </c>
      <c r="Y32" s="22">
        <f>IF(Y$4&lt;=Hypothèses!$B$42,Hypothèses!$B$41,0)</f>
        <v>0</v>
      </c>
      <c r="Z32" s="22">
        <f>IF(Z$4&lt;=Hypothèses!$B$42,Hypothèses!$B$41,0)</f>
        <v>0</v>
      </c>
      <c r="AA32" s="22">
        <f>IF(AA$4&lt;=Hypothèses!$B$42,Hypothèses!$B$41,0)</f>
        <v>0</v>
      </c>
      <c r="AB32" s="22">
        <f>IF(AB$4&lt;=Hypothèses!$B$42,Hypothèses!$B$41,0)</f>
        <v>0</v>
      </c>
      <c r="AC32" s="22">
        <f>IF(AC$4&lt;=Hypothèses!$B$42,Hypothèses!$B$41,0)</f>
        <v>0</v>
      </c>
      <c r="AD32" s="22">
        <f>IF(AD$4&lt;=Hypothèses!$B$42,Hypothèses!$B$41,0)</f>
        <v>0</v>
      </c>
      <c r="AE32" s="22">
        <f>IF(AE$4&lt;=Hypothèses!$B$42,Hypothèses!$B$41,0)</f>
        <v>0</v>
      </c>
      <c r="AF32" s="22">
        <f>IF(AF$4&lt;=Hypothèses!$B$42,Hypothèses!$B$41,0)</f>
        <v>0</v>
      </c>
      <c r="AG32" s="22">
        <f>IF(AG$4&lt;=Hypothèses!$B$42,Hypothèses!$B$41,0)</f>
        <v>0</v>
      </c>
      <c r="AH32" s="22">
        <f>IF(AH$4&lt;=Hypothèses!$B$42,Hypothèses!$B$41,0)</f>
        <v>0</v>
      </c>
      <c r="AI32" s="22">
        <f>IF(AI$4&lt;=Hypothèses!$B$42,Hypothèses!$B$41,0)</f>
        <v>0</v>
      </c>
      <c r="AJ32" s="22">
        <f>IF(AJ$4&lt;=Hypothèses!$B$42,Hypothèses!$B$41,0)</f>
        <v>0</v>
      </c>
      <c r="AK32" s="22">
        <f>IF(AK$4&lt;=Hypothèses!$B$42,Hypothèses!$B$41,0)</f>
        <v>0</v>
      </c>
      <c r="AL32" s="22">
        <f>IF(AL$4&lt;=Hypothèses!$B$42,Hypothèses!$B$41,0)</f>
        <v>0</v>
      </c>
      <c r="AM32" s="22">
        <f>IF(AM$4&lt;=Hypothèses!$B$42,Hypothèses!$B$41,0)</f>
        <v>0</v>
      </c>
      <c r="AN32" s="22">
        <f>IF(AN$4&lt;=Hypothèses!$B$42,Hypothèses!$B$41,0)</f>
        <v>0</v>
      </c>
      <c r="AO32" s="22">
        <f>IF(AO$4&lt;=Hypothèses!$B$42,Hypothèses!$B$41,0)</f>
        <v>0</v>
      </c>
      <c r="AP32" s="22">
        <f>IF(AP$4&lt;=Hypothèses!$B$42,Hypothèses!$B$41,0)</f>
        <v>0</v>
      </c>
      <c r="AQ32" s="22">
        <f>IF(AQ$4&lt;=Hypothèses!$B$42,Hypothèses!$B$41,0)</f>
        <v>0</v>
      </c>
    </row>
    <row r="33" spans="1:43" x14ac:dyDescent="0.3">
      <c r="A33" s="6" t="s">
        <v>319</v>
      </c>
      <c r="B33" s="22">
        <f t="shared" si="8"/>
        <v>0</v>
      </c>
      <c r="C33" s="22">
        <f t="shared" si="9"/>
        <v>1368120</v>
      </c>
      <c r="D33" s="22">
        <f t="shared" si="10"/>
        <v>1368120</v>
      </c>
      <c r="E33" s="22">
        <f t="shared" si="11"/>
        <v>1368120</v>
      </c>
      <c r="F33" s="22">
        <f t="shared" si="12"/>
        <v>4104360</v>
      </c>
      <c r="G33" s="22">
        <v>0</v>
      </c>
      <c r="H33" s="22">
        <f>MIN(Hypothèses!$B$43*(H9*Hypothèses!$B$45+H10*Hypothèses!$B$46+IF(H$4&gt;=Hypothèses!$B$59,Hypothèses!$B$57*Hypothèses!$B$60+Hypothèses!$B$58*Hypothèses!$B$61,0))*Hypothèses!$B$47,Hypothèses!$B$44)</f>
        <v>114010</v>
      </c>
      <c r="I33" s="22">
        <f>MIN(Hypothèses!$B$43*(I9*Hypothèses!$B$45+I10*Hypothèses!$B$46+IF(I$4&gt;=Hypothèses!$B$59,Hypothèses!$B$57*Hypothèses!$B$60+Hypothèses!$B$58*Hypothèses!$B$61,0))*Hypothèses!$B$47,Hypothèses!$B$44)</f>
        <v>114010</v>
      </c>
      <c r="J33" s="22">
        <f>MIN(Hypothèses!$B$43*(J9*Hypothèses!$B$45+J10*Hypothèses!$B$46+IF(J$4&gt;=Hypothèses!$B$59,Hypothèses!$B$57*Hypothèses!$B$60+Hypothèses!$B$58*Hypothèses!$B$61,0))*Hypothèses!$B$47,Hypothèses!$B$44)</f>
        <v>114010</v>
      </c>
      <c r="K33" s="22">
        <f>MIN(Hypothèses!$B$43*(K9*Hypothèses!$B$45+K10*Hypothèses!$B$46+IF(K$4&gt;=Hypothèses!$B$59,Hypothèses!$B$57*Hypothèses!$B$60+Hypothèses!$B$58*Hypothèses!$B$61,0))*Hypothèses!$B$47,Hypothèses!$B$44)</f>
        <v>114010</v>
      </c>
      <c r="L33" s="22">
        <f>MIN(Hypothèses!$B$43*(L9*Hypothèses!$B$45+L10*Hypothèses!$B$46+IF(L$4&gt;=Hypothèses!$B$59,Hypothèses!$B$57*Hypothèses!$B$60+Hypothèses!$B$58*Hypothèses!$B$61,0))*Hypothèses!$B$47,Hypothèses!$B$44)</f>
        <v>114010</v>
      </c>
      <c r="M33" s="22">
        <f>MIN(Hypothèses!$B$43*(M9*Hypothèses!$B$45+M10*Hypothèses!$B$46+IF(M$4&gt;=Hypothèses!$B$59,Hypothèses!$B$57*Hypothèses!$B$60+Hypothèses!$B$58*Hypothèses!$B$61,0))*Hypothèses!$B$47,Hypothèses!$B$44)</f>
        <v>114010</v>
      </c>
      <c r="N33" s="22">
        <f>MIN(Hypothèses!$B$43*(N9*Hypothèses!$B$45+N10*Hypothèses!$B$46+IF(N$4&gt;=Hypothèses!$B$59,Hypothèses!$B$57*Hypothèses!$B$60+Hypothèses!$B$58*Hypothèses!$B$61,0))*Hypothèses!$B$47,Hypothèses!$B$44)</f>
        <v>114010</v>
      </c>
      <c r="O33" s="22">
        <f>MIN(Hypothèses!$B$43*(O9*Hypothèses!$B$45+O10*Hypothèses!$B$46+IF(O$4&gt;=Hypothèses!$B$59,Hypothèses!$B$57*Hypothèses!$B$60+Hypothèses!$B$58*Hypothèses!$B$61,0))*Hypothèses!$B$47,Hypothèses!$B$44)</f>
        <v>114010</v>
      </c>
      <c r="P33" s="22">
        <f>MIN(Hypothèses!$B$43*(P9*Hypothèses!$B$45+P10*Hypothèses!$B$46+IF(P$4&gt;=Hypothèses!$B$59,Hypothèses!$B$57*Hypothèses!$B$60+Hypothèses!$B$58*Hypothèses!$B$61,0))*Hypothèses!$B$47,Hypothèses!$B$44)</f>
        <v>114010</v>
      </c>
      <c r="Q33" s="22">
        <f>MIN(Hypothèses!$B$43*(Q9*Hypothèses!$B$45+Q10*Hypothèses!$B$46+IF(Q$4&gt;=Hypothèses!$B$59,Hypothèses!$B$57*Hypothèses!$B$60+Hypothèses!$B$58*Hypothèses!$B$61,0))*Hypothèses!$B$47,Hypothèses!$B$44)</f>
        <v>114010</v>
      </c>
      <c r="R33" s="22">
        <f>MIN(Hypothèses!$B$43*(R9*Hypothèses!$B$45+R10*Hypothèses!$B$46+IF(R$4&gt;=Hypothèses!$B$59,Hypothèses!$B$57*Hypothèses!$B$60+Hypothèses!$B$58*Hypothèses!$B$61,0))*Hypothèses!$B$47,Hypothèses!$B$44)</f>
        <v>114010</v>
      </c>
      <c r="S33" s="22">
        <f>MIN(Hypothèses!$B$43*(S9*Hypothèses!$B$45+S10*Hypothèses!$B$46+IF(S$4&gt;=Hypothèses!$B$59,Hypothèses!$B$57*Hypothèses!$B$60+Hypothèses!$B$58*Hypothèses!$B$61,0))*Hypothèses!$B$47,Hypothèses!$B$44)</f>
        <v>114010</v>
      </c>
      <c r="T33" s="22">
        <f>MIN(Hypothèses!$B$43*(T9*Hypothèses!$B$45+T10*Hypothèses!$B$46+IF(T$4&gt;=Hypothèses!$B$59,Hypothèses!$B$57*Hypothèses!$B$60+Hypothèses!$B$58*Hypothèses!$B$61,0))*Hypothèses!$B$47,Hypothèses!$B$44)</f>
        <v>114010</v>
      </c>
      <c r="U33" s="22">
        <f>MIN(Hypothèses!$B$43*(U9*Hypothèses!$B$45+U10*Hypothèses!$B$46+IF(U$4&gt;=Hypothèses!$B$59,Hypothèses!$B$57*Hypothèses!$B$60+Hypothèses!$B$58*Hypothèses!$B$61,0))*Hypothèses!$B$47,Hypothèses!$B$44)</f>
        <v>114010</v>
      </c>
      <c r="V33" s="22">
        <f>MIN(Hypothèses!$B$43*(V9*Hypothèses!$B$45+V10*Hypothèses!$B$46+IF(V$4&gt;=Hypothèses!$B$59,Hypothèses!$B$57*Hypothèses!$B$60+Hypothèses!$B$58*Hypothèses!$B$61,0))*Hypothèses!$B$47,Hypothèses!$B$44)</f>
        <v>114010</v>
      </c>
      <c r="W33" s="22">
        <f>MIN(Hypothèses!$B$43*(W9*Hypothèses!$B$45+W10*Hypothèses!$B$46+IF(W$4&gt;=Hypothèses!$B$59,Hypothèses!$B$57*Hypothèses!$B$60+Hypothèses!$B$58*Hypothèses!$B$61,0))*Hypothèses!$B$47,Hypothèses!$B$44)</f>
        <v>114010</v>
      </c>
      <c r="X33" s="22">
        <f>MIN(Hypothèses!$B$43*(X9*Hypothèses!$B$45+X10*Hypothèses!$B$46+IF(X$4&gt;=Hypothèses!$B$59,Hypothèses!$B$57*Hypothèses!$B$60+Hypothèses!$B$58*Hypothèses!$B$61,0))*Hypothèses!$B$47,Hypothèses!$B$44)</f>
        <v>114010</v>
      </c>
      <c r="Y33" s="22">
        <f>MIN(Hypothèses!$B$43*(Y9*Hypothèses!$B$45+Y10*Hypothèses!$B$46+IF(Y$4&gt;=Hypothèses!$B$59,Hypothèses!$B$57*Hypothèses!$B$60+Hypothèses!$B$58*Hypothèses!$B$61,0))*Hypothèses!$B$47,Hypothèses!$B$44)</f>
        <v>114010</v>
      </c>
      <c r="Z33" s="22">
        <f>MIN(Hypothèses!$B$43*(Z9*Hypothèses!$B$45+Z10*Hypothèses!$B$46+IF(Z$4&gt;=Hypothèses!$B$59,Hypothèses!$B$57*Hypothèses!$B$60+Hypothèses!$B$58*Hypothèses!$B$61,0))*Hypothèses!$B$47,Hypothèses!$B$44)</f>
        <v>114010</v>
      </c>
      <c r="AA33" s="22">
        <f>MIN(Hypothèses!$B$43*(AA9*Hypothèses!$B$45+AA10*Hypothèses!$B$46+IF(AA$4&gt;=Hypothèses!$B$59,Hypothèses!$B$57*Hypothèses!$B$60+Hypothèses!$B$58*Hypothèses!$B$61,0))*Hypothèses!$B$47,Hypothèses!$B$44)</f>
        <v>114010</v>
      </c>
      <c r="AB33" s="22">
        <f>MIN(Hypothèses!$B$43*(AB9*Hypothèses!$B$45+AB10*Hypothèses!$B$46+IF(AB$4&gt;=Hypothèses!$B$59,Hypothèses!$B$57*Hypothèses!$B$60+Hypothèses!$B$58*Hypothèses!$B$61,0))*Hypothèses!$B$47,Hypothèses!$B$44)</f>
        <v>114010</v>
      </c>
      <c r="AC33" s="22">
        <f>MIN(Hypothèses!$B$43*(AC9*Hypothèses!$B$45+AC10*Hypothèses!$B$46+IF(AC$4&gt;=Hypothèses!$B$59,Hypothèses!$B$57*Hypothèses!$B$60+Hypothèses!$B$58*Hypothèses!$B$61,0))*Hypothèses!$B$47,Hypothèses!$B$44)</f>
        <v>114010</v>
      </c>
      <c r="AD33" s="22">
        <f>MIN(Hypothèses!$B$43*(AD9*Hypothèses!$B$45+AD10*Hypothèses!$B$46+IF(AD$4&gt;=Hypothèses!$B$59,Hypothèses!$B$57*Hypothèses!$B$60+Hypothèses!$B$58*Hypothèses!$B$61,0))*Hypothèses!$B$47,Hypothèses!$B$44)</f>
        <v>114010</v>
      </c>
      <c r="AE33" s="22">
        <f>MIN(Hypothèses!$B$43*(AE9*Hypothèses!$B$45+AE10*Hypothèses!$B$46+IF(AE$4&gt;=Hypothèses!$B$59,Hypothèses!$B$57*Hypothèses!$B$60+Hypothèses!$B$58*Hypothèses!$B$61,0))*Hypothèses!$B$47,Hypothèses!$B$44)</f>
        <v>114010</v>
      </c>
      <c r="AF33" s="22">
        <f>MIN(Hypothèses!$B$43*(AF9*Hypothèses!$B$45+AF10*Hypothèses!$B$46+IF(AF$4&gt;=Hypothèses!$B$59,Hypothèses!$B$57*Hypothèses!$B$60+Hypothèses!$B$58*Hypothèses!$B$61,0))*Hypothèses!$B$47,Hypothèses!$B$44)</f>
        <v>114010</v>
      </c>
      <c r="AG33" s="22">
        <f>MIN(Hypothèses!$B$43*(AG9*Hypothèses!$B$45+AG10*Hypothèses!$B$46+IF(AG$4&gt;=Hypothèses!$B$59,Hypothèses!$B$57*Hypothèses!$B$60+Hypothèses!$B$58*Hypothèses!$B$61,0))*Hypothèses!$B$47,Hypothèses!$B$44)</f>
        <v>114010</v>
      </c>
      <c r="AH33" s="22">
        <f>MIN(Hypothèses!$B$43*(AH9*Hypothèses!$B$45+AH10*Hypothèses!$B$46+IF(AH$4&gt;=Hypothèses!$B$59,Hypothèses!$B$57*Hypothèses!$B$60+Hypothèses!$B$58*Hypothèses!$B$61,0))*Hypothèses!$B$47,Hypothèses!$B$44)</f>
        <v>114010</v>
      </c>
      <c r="AI33" s="22">
        <f>MIN(Hypothèses!$B$43*(AI9*Hypothèses!$B$45+AI10*Hypothèses!$B$46+IF(AI$4&gt;=Hypothèses!$B$59,Hypothèses!$B$57*Hypothèses!$B$60+Hypothèses!$B$58*Hypothèses!$B$61,0))*Hypothèses!$B$47,Hypothèses!$B$44)</f>
        <v>114010</v>
      </c>
      <c r="AJ33" s="22">
        <f>MIN(Hypothèses!$B$43*(AJ9*Hypothèses!$B$45+AJ10*Hypothèses!$B$46+IF(AJ$4&gt;=Hypothèses!$B$59,Hypothèses!$B$57*Hypothèses!$B$60+Hypothèses!$B$58*Hypothèses!$B$61,0))*Hypothèses!$B$47,Hypothèses!$B$44)</f>
        <v>114010</v>
      </c>
      <c r="AK33" s="22">
        <f>MIN(Hypothèses!$B$43*(AK9*Hypothèses!$B$45+AK10*Hypothèses!$B$46+IF(AK$4&gt;=Hypothèses!$B$59,Hypothèses!$B$57*Hypothèses!$B$60+Hypothèses!$B$58*Hypothèses!$B$61,0))*Hypothèses!$B$47,Hypothèses!$B$44)</f>
        <v>114010</v>
      </c>
      <c r="AL33" s="22">
        <f>MIN(Hypothèses!$B$43*(AL9*Hypothèses!$B$45+AL10*Hypothèses!$B$46+IF(AL$4&gt;=Hypothèses!$B$59,Hypothèses!$B$57*Hypothèses!$B$60+Hypothèses!$B$58*Hypothèses!$B$61,0))*Hypothèses!$B$47,Hypothèses!$B$44)</f>
        <v>114010</v>
      </c>
      <c r="AM33" s="22">
        <f>MIN(Hypothèses!$B$43*(AM9*Hypothèses!$B$45+AM10*Hypothèses!$B$46+IF(AM$4&gt;=Hypothèses!$B$59,Hypothèses!$B$57*Hypothèses!$B$60+Hypothèses!$B$58*Hypothèses!$B$61,0))*Hypothèses!$B$47,Hypothèses!$B$44)</f>
        <v>114010</v>
      </c>
      <c r="AN33" s="22">
        <f>MIN(Hypothèses!$B$43*(AN9*Hypothèses!$B$45+AN10*Hypothèses!$B$46+IF(AN$4&gt;=Hypothèses!$B$59,Hypothèses!$B$57*Hypothèses!$B$60+Hypothèses!$B$58*Hypothèses!$B$61,0))*Hypothèses!$B$47,Hypothèses!$B$44)</f>
        <v>114010</v>
      </c>
      <c r="AO33" s="22">
        <f>MIN(Hypothèses!$B$43*(AO9*Hypothèses!$B$45+AO10*Hypothèses!$B$46+IF(AO$4&gt;=Hypothèses!$B$59,Hypothèses!$B$57*Hypothèses!$B$60+Hypothèses!$B$58*Hypothèses!$B$61,0))*Hypothèses!$B$47,Hypothèses!$B$44)</f>
        <v>114010</v>
      </c>
      <c r="AP33" s="22">
        <f>MIN(Hypothèses!$B$43*(AP9*Hypothèses!$B$45+AP10*Hypothèses!$B$46+IF(AP$4&gt;=Hypothèses!$B$59,Hypothèses!$B$57*Hypothèses!$B$60+Hypothèses!$B$58*Hypothèses!$B$61,0))*Hypothèses!$B$47,Hypothèses!$B$44)</f>
        <v>114010</v>
      </c>
      <c r="AQ33" s="22">
        <f>MIN(Hypothèses!$B$43*(AQ9*Hypothèses!$B$45+AQ10*Hypothèses!$B$46+IF(AQ$4&gt;=Hypothèses!$B$59,Hypothèses!$B$57*Hypothèses!$B$60+Hypothèses!$B$58*Hypothèses!$B$61,0))*Hypothèses!$B$47,Hypothèses!$B$44)</f>
        <v>114010</v>
      </c>
    </row>
    <row r="34" spans="1:43" x14ac:dyDescent="0.3">
      <c r="A34" s="6" t="s">
        <v>320</v>
      </c>
      <c r="B34" s="22">
        <f t="shared" si="8"/>
        <v>0</v>
      </c>
      <c r="C34" s="22">
        <f t="shared" si="9"/>
        <v>0</v>
      </c>
      <c r="D34" s="22">
        <f t="shared" si="10"/>
        <v>280000</v>
      </c>
      <c r="E34" s="22">
        <f t="shared" si="11"/>
        <v>280000</v>
      </c>
      <c r="F34" s="22">
        <f t="shared" si="12"/>
        <v>560000</v>
      </c>
      <c r="G34" s="22">
        <v>0</v>
      </c>
      <c r="H34" s="22">
        <f>IF(OR(H$4=13,H$4=25),Hypothèses!$B$48,0)</f>
        <v>0</v>
      </c>
      <c r="I34" s="22">
        <f>IF(OR(I$4=13,I$4=25),Hypothèses!$B$48,0)</f>
        <v>0</v>
      </c>
      <c r="J34" s="22">
        <f>IF(OR(J$4=13,J$4=25),Hypothèses!$B$48,0)</f>
        <v>0</v>
      </c>
      <c r="K34" s="22">
        <f>IF(OR(K$4=13,K$4=25),Hypothèses!$B$48,0)</f>
        <v>0</v>
      </c>
      <c r="L34" s="22">
        <f>IF(OR(L$4=13,L$4=25),Hypothèses!$B$48,0)</f>
        <v>0</v>
      </c>
      <c r="M34" s="22">
        <f>IF(OR(M$4=13,M$4=25),Hypothèses!$B$48,0)</f>
        <v>0</v>
      </c>
      <c r="N34" s="22">
        <f>IF(OR(N$4=13,N$4=25),Hypothèses!$B$48,0)</f>
        <v>0</v>
      </c>
      <c r="O34" s="22">
        <f>IF(OR(O$4=13,O$4=25),Hypothèses!$B$48,0)</f>
        <v>0</v>
      </c>
      <c r="P34" s="22">
        <f>IF(OR(P$4=13,P$4=25),Hypothèses!$B$48,0)</f>
        <v>0</v>
      </c>
      <c r="Q34" s="22">
        <f>IF(OR(Q$4=13,Q$4=25),Hypothèses!$B$48,0)</f>
        <v>0</v>
      </c>
      <c r="R34" s="22">
        <f>IF(OR(R$4=13,R$4=25),Hypothèses!$B$48,0)</f>
        <v>0</v>
      </c>
      <c r="S34" s="22">
        <f>IF(OR(S$4=13,S$4=25),Hypothèses!$B$48,0)</f>
        <v>0</v>
      </c>
      <c r="T34" s="22">
        <f>IF(OR(T$4=13,T$4=25),Hypothèses!$B$48,0)</f>
        <v>280000</v>
      </c>
      <c r="U34" s="22">
        <f>IF(OR(U$4=13,U$4=25),Hypothèses!$B$48,0)</f>
        <v>0</v>
      </c>
      <c r="V34" s="22">
        <f>IF(OR(V$4=13,V$4=25),Hypothèses!$B$48,0)</f>
        <v>0</v>
      </c>
      <c r="W34" s="22">
        <f>IF(OR(W$4=13,W$4=25),Hypothèses!$B$48,0)</f>
        <v>0</v>
      </c>
      <c r="X34" s="22">
        <f>IF(OR(X$4=13,X$4=25),Hypothèses!$B$48,0)</f>
        <v>0</v>
      </c>
      <c r="Y34" s="22">
        <f>IF(OR(Y$4=13,Y$4=25),Hypothèses!$B$48,0)</f>
        <v>0</v>
      </c>
      <c r="Z34" s="22">
        <f>IF(OR(Z$4=13,Z$4=25),Hypothèses!$B$48,0)</f>
        <v>0</v>
      </c>
      <c r="AA34" s="22">
        <f>IF(OR(AA$4=13,AA$4=25),Hypothèses!$B$48,0)</f>
        <v>0</v>
      </c>
      <c r="AB34" s="22">
        <f>IF(OR(AB$4=13,AB$4=25),Hypothèses!$B$48,0)</f>
        <v>0</v>
      </c>
      <c r="AC34" s="22">
        <f>IF(OR(AC$4=13,AC$4=25),Hypothèses!$B$48,0)</f>
        <v>0</v>
      </c>
      <c r="AD34" s="22">
        <f>IF(OR(AD$4=13,AD$4=25),Hypothèses!$B$48,0)</f>
        <v>0</v>
      </c>
      <c r="AE34" s="22">
        <f>IF(OR(AE$4=13,AE$4=25),Hypothèses!$B$48,0)</f>
        <v>0</v>
      </c>
      <c r="AF34" s="22">
        <f>IF(OR(AF$4=13,AF$4=25),Hypothèses!$B$48,0)</f>
        <v>280000</v>
      </c>
      <c r="AG34" s="22">
        <f>IF(OR(AG$4=13,AG$4=25),Hypothèses!$B$48,0)</f>
        <v>0</v>
      </c>
      <c r="AH34" s="22">
        <f>IF(OR(AH$4=13,AH$4=25),Hypothèses!$B$48,0)</f>
        <v>0</v>
      </c>
      <c r="AI34" s="22">
        <f>IF(OR(AI$4=13,AI$4=25),Hypothèses!$B$48,0)</f>
        <v>0</v>
      </c>
      <c r="AJ34" s="22">
        <f>IF(OR(AJ$4=13,AJ$4=25),Hypothèses!$B$48,0)</f>
        <v>0</v>
      </c>
      <c r="AK34" s="22">
        <f>IF(OR(AK$4=13,AK$4=25),Hypothèses!$B$48,0)</f>
        <v>0</v>
      </c>
      <c r="AL34" s="22">
        <f>IF(OR(AL$4=13,AL$4=25),Hypothèses!$B$48,0)</f>
        <v>0</v>
      </c>
      <c r="AM34" s="22">
        <f>IF(OR(AM$4=13,AM$4=25),Hypothèses!$B$48,0)</f>
        <v>0</v>
      </c>
      <c r="AN34" s="22">
        <f>IF(OR(AN$4=13,AN$4=25),Hypothèses!$B$48,0)</f>
        <v>0</v>
      </c>
      <c r="AO34" s="22">
        <f>IF(OR(AO$4=13,AO$4=25),Hypothèses!$B$48,0)</f>
        <v>0</v>
      </c>
      <c r="AP34" s="22">
        <f>IF(OR(AP$4=13,AP$4=25),Hypothèses!$B$48,0)</f>
        <v>0</v>
      </c>
      <c r="AQ34" s="22">
        <f>IF(OR(AQ$4=13,AQ$4=25),Hypothèses!$B$48,0)</f>
        <v>0</v>
      </c>
    </row>
    <row r="35" spans="1:43" x14ac:dyDescent="0.3">
      <c r="A35" s="6" t="s">
        <v>99</v>
      </c>
      <c r="B35" s="22">
        <f t="shared" si="8"/>
        <v>0</v>
      </c>
      <c r="C35" s="22">
        <f t="shared" si="9"/>
        <v>0</v>
      </c>
      <c r="D35" s="22">
        <f t="shared" si="10"/>
        <v>254000</v>
      </c>
      <c r="E35" s="22">
        <f t="shared" si="11"/>
        <v>254000</v>
      </c>
      <c r="F35" s="22">
        <f t="shared" si="12"/>
        <v>508000</v>
      </c>
      <c r="G35" s="22">
        <v>0</v>
      </c>
      <c r="H35" s="22">
        <f>IF(OR(H$4=16,H$4=28),Hypothèses!$B$49,0)</f>
        <v>0</v>
      </c>
      <c r="I35" s="22">
        <f>IF(OR(I$4=16,I$4=28),Hypothèses!$B$49,0)</f>
        <v>0</v>
      </c>
      <c r="J35" s="22">
        <f>IF(OR(J$4=16,J$4=28),Hypothèses!$B$49,0)</f>
        <v>0</v>
      </c>
      <c r="K35" s="22">
        <f>IF(OR(K$4=16,K$4=28),Hypothèses!$B$49,0)</f>
        <v>0</v>
      </c>
      <c r="L35" s="22">
        <f>IF(OR(L$4=16,L$4=28),Hypothèses!$B$49,0)</f>
        <v>0</v>
      </c>
      <c r="M35" s="22">
        <f>IF(OR(M$4=16,M$4=28),Hypothèses!$B$49,0)</f>
        <v>0</v>
      </c>
      <c r="N35" s="22">
        <f>IF(OR(N$4=16,N$4=28),Hypothèses!$B$49,0)</f>
        <v>0</v>
      </c>
      <c r="O35" s="22">
        <f>IF(OR(O$4=16,O$4=28),Hypothèses!$B$49,0)</f>
        <v>0</v>
      </c>
      <c r="P35" s="22">
        <f>IF(OR(P$4=16,P$4=28),Hypothèses!$B$49,0)</f>
        <v>0</v>
      </c>
      <c r="Q35" s="22">
        <f>IF(OR(Q$4=16,Q$4=28),Hypothèses!$B$49,0)</f>
        <v>0</v>
      </c>
      <c r="R35" s="22">
        <f>IF(OR(R$4=16,R$4=28),Hypothèses!$B$49,0)</f>
        <v>0</v>
      </c>
      <c r="S35" s="22">
        <f>IF(OR(S$4=16,S$4=28),Hypothèses!$B$49,0)</f>
        <v>0</v>
      </c>
      <c r="T35" s="22">
        <f>IF(OR(T$4=16,T$4=28),Hypothèses!$B$49,0)</f>
        <v>0</v>
      </c>
      <c r="U35" s="22">
        <f>IF(OR(U$4=16,U$4=28),Hypothèses!$B$49,0)</f>
        <v>0</v>
      </c>
      <c r="V35" s="22">
        <f>IF(OR(V$4=16,V$4=28),Hypothèses!$B$49,0)</f>
        <v>0</v>
      </c>
      <c r="W35" s="22">
        <f>IF(OR(W$4=16,W$4=28),Hypothèses!$B$49,0)</f>
        <v>254000</v>
      </c>
      <c r="X35" s="22">
        <f>IF(OR(X$4=16,X$4=28),Hypothèses!$B$49,0)</f>
        <v>0</v>
      </c>
      <c r="Y35" s="22">
        <f>IF(OR(Y$4=16,Y$4=28),Hypothèses!$B$49,0)</f>
        <v>0</v>
      </c>
      <c r="Z35" s="22">
        <f>IF(OR(Z$4=16,Z$4=28),Hypothèses!$B$49,0)</f>
        <v>0</v>
      </c>
      <c r="AA35" s="22">
        <f>IF(OR(AA$4=16,AA$4=28),Hypothèses!$B$49,0)</f>
        <v>0</v>
      </c>
      <c r="AB35" s="22">
        <f>IF(OR(AB$4=16,AB$4=28),Hypothèses!$B$49,0)</f>
        <v>0</v>
      </c>
      <c r="AC35" s="22">
        <f>IF(OR(AC$4=16,AC$4=28),Hypothèses!$B$49,0)</f>
        <v>0</v>
      </c>
      <c r="AD35" s="22">
        <f>IF(OR(AD$4=16,AD$4=28),Hypothèses!$B$49,0)</f>
        <v>0</v>
      </c>
      <c r="AE35" s="22">
        <f>IF(OR(AE$4=16,AE$4=28),Hypothèses!$B$49,0)</f>
        <v>0</v>
      </c>
      <c r="AF35" s="22">
        <f>IF(OR(AF$4=16,AF$4=28),Hypothèses!$B$49,0)</f>
        <v>0</v>
      </c>
      <c r="AG35" s="22">
        <f>IF(OR(AG$4=16,AG$4=28),Hypothèses!$B$49,0)</f>
        <v>0</v>
      </c>
      <c r="AH35" s="22">
        <f>IF(OR(AH$4=16,AH$4=28),Hypothèses!$B$49,0)</f>
        <v>0</v>
      </c>
      <c r="AI35" s="22">
        <f>IF(OR(AI$4=16,AI$4=28),Hypothèses!$B$49,0)</f>
        <v>254000</v>
      </c>
      <c r="AJ35" s="22">
        <f>IF(OR(AJ$4=16,AJ$4=28),Hypothèses!$B$49,0)</f>
        <v>0</v>
      </c>
      <c r="AK35" s="22">
        <f>IF(OR(AK$4=16,AK$4=28),Hypothèses!$B$49,0)</f>
        <v>0</v>
      </c>
      <c r="AL35" s="22">
        <f>IF(OR(AL$4=16,AL$4=28),Hypothèses!$B$49,0)</f>
        <v>0</v>
      </c>
      <c r="AM35" s="22">
        <f>IF(OR(AM$4=16,AM$4=28),Hypothèses!$B$49,0)</f>
        <v>0</v>
      </c>
      <c r="AN35" s="22">
        <f>IF(OR(AN$4=16,AN$4=28),Hypothèses!$B$49,0)</f>
        <v>0</v>
      </c>
      <c r="AO35" s="22">
        <f>IF(OR(AO$4=16,AO$4=28),Hypothèses!$B$49,0)</f>
        <v>0</v>
      </c>
      <c r="AP35" s="22">
        <f>IF(OR(AP$4=16,AP$4=28),Hypothèses!$B$49,0)</f>
        <v>0</v>
      </c>
      <c r="AQ35" s="22">
        <f>IF(OR(AQ$4=16,AQ$4=28),Hypothèses!$B$49,0)</f>
        <v>0</v>
      </c>
    </row>
    <row r="36" spans="1:43" x14ac:dyDescent="0.3">
      <c r="A36" s="6" t="s">
        <v>321</v>
      </c>
      <c r="B36" s="22">
        <f t="shared" si="8"/>
        <v>0</v>
      </c>
      <c r="C36" s="22">
        <f t="shared" si="9"/>
        <v>0</v>
      </c>
      <c r="D36" s="22">
        <f t="shared" si="10"/>
        <v>172000</v>
      </c>
      <c r="E36" s="22">
        <f t="shared" si="11"/>
        <v>172000</v>
      </c>
      <c r="F36" s="22">
        <f t="shared" si="12"/>
        <v>344000</v>
      </c>
      <c r="G36" s="22">
        <v>0</v>
      </c>
      <c r="H36" s="22">
        <f>IF(OR(H$4=13,H$4=25),Hypothèses!$B$50+Hypothèses!$B$51*12*Hypothèses!$B$37,0)</f>
        <v>0</v>
      </c>
      <c r="I36" s="22">
        <f>IF(OR(I$4=13,I$4=25),Hypothèses!$B$50+Hypothèses!$B$51*12*Hypothèses!$B$37,0)</f>
        <v>0</v>
      </c>
      <c r="J36" s="22">
        <f>IF(OR(J$4=13,J$4=25),Hypothèses!$B$50+Hypothèses!$B$51*12*Hypothèses!$B$37,0)</f>
        <v>0</v>
      </c>
      <c r="K36" s="22">
        <f>IF(OR(K$4=13,K$4=25),Hypothèses!$B$50+Hypothèses!$B$51*12*Hypothèses!$B$37,0)</f>
        <v>0</v>
      </c>
      <c r="L36" s="22">
        <f>IF(OR(L$4=13,L$4=25),Hypothèses!$B$50+Hypothèses!$B$51*12*Hypothèses!$B$37,0)</f>
        <v>0</v>
      </c>
      <c r="M36" s="22">
        <f>IF(OR(M$4=13,M$4=25),Hypothèses!$B$50+Hypothèses!$B$51*12*Hypothèses!$B$37,0)</f>
        <v>0</v>
      </c>
      <c r="N36" s="22">
        <f>IF(OR(N$4=13,N$4=25),Hypothèses!$B$50+Hypothèses!$B$51*12*Hypothèses!$B$37,0)</f>
        <v>0</v>
      </c>
      <c r="O36" s="22">
        <f>IF(OR(O$4=13,O$4=25),Hypothèses!$B$50+Hypothèses!$B$51*12*Hypothèses!$B$37,0)</f>
        <v>0</v>
      </c>
      <c r="P36" s="22">
        <f>IF(OR(P$4=13,P$4=25),Hypothèses!$B$50+Hypothèses!$B$51*12*Hypothèses!$B$37,0)</f>
        <v>0</v>
      </c>
      <c r="Q36" s="22">
        <f>IF(OR(Q$4=13,Q$4=25),Hypothèses!$B$50+Hypothèses!$B$51*12*Hypothèses!$B$37,0)</f>
        <v>0</v>
      </c>
      <c r="R36" s="22">
        <f>IF(OR(R$4=13,R$4=25),Hypothèses!$B$50+Hypothèses!$B$51*12*Hypothèses!$B$37,0)</f>
        <v>0</v>
      </c>
      <c r="S36" s="22">
        <f>IF(OR(S$4=13,S$4=25),Hypothèses!$B$50+Hypothèses!$B$51*12*Hypothèses!$B$37,0)</f>
        <v>0</v>
      </c>
      <c r="T36" s="22">
        <f>IF(OR(T$4=13,T$4=25),Hypothèses!$B$50+Hypothèses!$B$51*12*Hypothèses!$B$37,0)</f>
        <v>172000</v>
      </c>
      <c r="U36" s="22">
        <f>IF(OR(U$4=13,U$4=25),Hypothèses!$B$50+Hypothèses!$B$51*12*Hypothèses!$B$37,0)</f>
        <v>0</v>
      </c>
      <c r="V36" s="22">
        <f>IF(OR(V$4=13,V$4=25),Hypothèses!$B$50+Hypothèses!$B$51*12*Hypothèses!$B$37,0)</f>
        <v>0</v>
      </c>
      <c r="W36" s="22">
        <f>IF(OR(W$4=13,W$4=25),Hypothèses!$B$50+Hypothèses!$B$51*12*Hypothèses!$B$37,0)</f>
        <v>0</v>
      </c>
      <c r="X36" s="22">
        <f>IF(OR(X$4=13,X$4=25),Hypothèses!$B$50+Hypothèses!$B$51*12*Hypothèses!$B$37,0)</f>
        <v>0</v>
      </c>
      <c r="Y36" s="22">
        <f>IF(OR(Y$4=13,Y$4=25),Hypothèses!$B$50+Hypothèses!$B$51*12*Hypothèses!$B$37,0)</f>
        <v>0</v>
      </c>
      <c r="Z36" s="22">
        <f>IF(OR(Z$4=13,Z$4=25),Hypothèses!$B$50+Hypothèses!$B$51*12*Hypothèses!$B$37,0)</f>
        <v>0</v>
      </c>
      <c r="AA36" s="22">
        <f>IF(OR(AA$4=13,AA$4=25),Hypothèses!$B$50+Hypothèses!$B$51*12*Hypothèses!$B$37,0)</f>
        <v>0</v>
      </c>
      <c r="AB36" s="22">
        <f>IF(OR(AB$4=13,AB$4=25),Hypothèses!$B$50+Hypothèses!$B$51*12*Hypothèses!$B$37,0)</f>
        <v>0</v>
      </c>
      <c r="AC36" s="22">
        <f>IF(OR(AC$4=13,AC$4=25),Hypothèses!$B$50+Hypothèses!$B$51*12*Hypothèses!$B$37,0)</f>
        <v>0</v>
      </c>
      <c r="AD36" s="22">
        <f>IF(OR(AD$4=13,AD$4=25),Hypothèses!$B$50+Hypothèses!$B$51*12*Hypothèses!$B$37,0)</f>
        <v>0</v>
      </c>
      <c r="AE36" s="22">
        <f>IF(OR(AE$4=13,AE$4=25),Hypothèses!$B$50+Hypothèses!$B$51*12*Hypothèses!$B$37,0)</f>
        <v>0</v>
      </c>
      <c r="AF36" s="22">
        <f>IF(OR(AF$4=13,AF$4=25),Hypothèses!$B$50+Hypothèses!$B$51*12*Hypothèses!$B$37,0)</f>
        <v>172000</v>
      </c>
      <c r="AG36" s="22">
        <f>IF(OR(AG$4=13,AG$4=25),Hypothèses!$B$50+Hypothèses!$B$51*12*Hypothèses!$B$37,0)</f>
        <v>0</v>
      </c>
      <c r="AH36" s="22">
        <f>IF(OR(AH$4=13,AH$4=25),Hypothèses!$B$50+Hypothèses!$B$51*12*Hypothèses!$B$37,0)</f>
        <v>0</v>
      </c>
      <c r="AI36" s="22">
        <f>IF(OR(AI$4=13,AI$4=25),Hypothèses!$B$50+Hypothèses!$B$51*12*Hypothèses!$B$37,0)</f>
        <v>0</v>
      </c>
      <c r="AJ36" s="22">
        <f>IF(OR(AJ$4=13,AJ$4=25),Hypothèses!$B$50+Hypothèses!$B$51*12*Hypothèses!$B$37,0)</f>
        <v>0</v>
      </c>
      <c r="AK36" s="22">
        <f>IF(OR(AK$4=13,AK$4=25),Hypothèses!$B$50+Hypothèses!$B$51*12*Hypothèses!$B$37,0)</f>
        <v>0</v>
      </c>
      <c r="AL36" s="22">
        <f>IF(OR(AL$4=13,AL$4=25),Hypothèses!$B$50+Hypothèses!$B$51*12*Hypothèses!$B$37,0)</f>
        <v>0</v>
      </c>
      <c r="AM36" s="22">
        <f>IF(OR(AM$4=13,AM$4=25),Hypothèses!$B$50+Hypothèses!$B$51*12*Hypothèses!$B$37,0)</f>
        <v>0</v>
      </c>
      <c r="AN36" s="22">
        <f>IF(OR(AN$4=13,AN$4=25),Hypothèses!$B$50+Hypothèses!$B$51*12*Hypothèses!$B$37,0)</f>
        <v>0</v>
      </c>
      <c r="AO36" s="22">
        <f>IF(OR(AO$4=13,AO$4=25),Hypothèses!$B$50+Hypothèses!$B$51*12*Hypothèses!$B$37,0)</f>
        <v>0</v>
      </c>
      <c r="AP36" s="22">
        <f>IF(OR(AP$4=13,AP$4=25),Hypothèses!$B$50+Hypothèses!$B$51*12*Hypothèses!$B$37,0)</f>
        <v>0</v>
      </c>
      <c r="AQ36" s="22">
        <f>IF(OR(AQ$4=13,AQ$4=25),Hypothèses!$B$50+Hypothèses!$B$51*12*Hypothèses!$B$37,0)</f>
        <v>0</v>
      </c>
    </row>
    <row r="37" spans="1:43" x14ac:dyDescent="0.3">
      <c r="A37" s="6" t="s">
        <v>322</v>
      </c>
      <c r="B37" s="22">
        <f t="shared" si="8"/>
        <v>0</v>
      </c>
      <c r="C37" s="22">
        <f t="shared" si="9"/>
        <v>0</v>
      </c>
      <c r="D37" s="22">
        <f t="shared" si="10"/>
        <v>900000</v>
      </c>
      <c r="E37" s="22">
        <f t="shared" si="11"/>
        <v>0</v>
      </c>
      <c r="F37" s="22">
        <f t="shared" si="12"/>
        <v>900000</v>
      </c>
      <c r="G37" s="22">
        <v>0</v>
      </c>
      <c r="H37" s="22">
        <f>IF(H$4=Hypothèses!$B$59+12,(Hypothèses!$B$57+Hypothèses!$B$58)*Hypothèses!$B$67,0)</f>
        <v>0</v>
      </c>
      <c r="I37" s="22">
        <f>IF(I$4=Hypothèses!$B$59+12,(Hypothèses!$B$57+Hypothèses!$B$58)*Hypothèses!$B$67,0)</f>
        <v>0</v>
      </c>
      <c r="J37" s="22">
        <f>IF(J$4=Hypothèses!$B$59+12,(Hypothèses!$B$57+Hypothèses!$B$58)*Hypothèses!$B$67,0)</f>
        <v>0</v>
      </c>
      <c r="K37" s="22">
        <f>IF(K$4=Hypothèses!$B$59+12,(Hypothèses!$B$57+Hypothèses!$B$58)*Hypothèses!$B$67,0)</f>
        <v>0</v>
      </c>
      <c r="L37" s="22">
        <f>IF(L$4=Hypothèses!$B$59+12,(Hypothèses!$B$57+Hypothèses!$B$58)*Hypothèses!$B$67,0)</f>
        <v>0</v>
      </c>
      <c r="M37" s="22">
        <f>IF(M$4=Hypothèses!$B$59+12,(Hypothèses!$B$57+Hypothèses!$B$58)*Hypothèses!$B$67,0)</f>
        <v>0</v>
      </c>
      <c r="N37" s="22">
        <f>IF(N$4=Hypothèses!$B$59+12,(Hypothèses!$B$57+Hypothèses!$B$58)*Hypothèses!$B$67,0)</f>
        <v>0</v>
      </c>
      <c r="O37" s="22">
        <f>IF(O$4=Hypothèses!$B$59+12,(Hypothèses!$B$57+Hypothèses!$B$58)*Hypothèses!$B$67,0)</f>
        <v>0</v>
      </c>
      <c r="P37" s="22">
        <f>IF(P$4=Hypothèses!$B$59+12,(Hypothèses!$B$57+Hypothèses!$B$58)*Hypothèses!$B$67,0)</f>
        <v>0</v>
      </c>
      <c r="Q37" s="22">
        <f>IF(Q$4=Hypothèses!$B$59+12,(Hypothèses!$B$57+Hypothèses!$B$58)*Hypothèses!$B$67,0)</f>
        <v>0</v>
      </c>
      <c r="R37" s="22">
        <f>IF(R$4=Hypothèses!$B$59+12,(Hypothèses!$B$57+Hypothèses!$B$58)*Hypothèses!$B$67,0)</f>
        <v>0</v>
      </c>
      <c r="S37" s="22">
        <f>IF(S$4=Hypothèses!$B$59+12,(Hypothèses!$B$57+Hypothèses!$B$58)*Hypothèses!$B$67,0)</f>
        <v>0</v>
      </c>
      <c r="T37" s="22">
        <f>IF(T$4=Hypothèses!$B$59+12,(Hypothèses!$B$57+Hypothèses!$B$58)*Hypothèses!$B$67,0)</f>
        <v>900000</v>
      </c>
      <c r="U37" s="22">
        <f>IF(U$4=Hypothèses!$B$59+12,(Hypothèses!$B$57+Hypothèses!$B$58)*Hypothèses!$B$67,0)</f>
        <v>0</v>
      </c>
      <c r="V37" s="22">
        <f>IF(V$4=Hypothèses!$B$59+12,(Hypothèses!$B$57+Hypothèses!$B$58)*Hypothèses!$B$67,0)</f>
        <v>0</v>
      </c>
      <c r="W37" s="22">
        <f>IF(W$4=Hypothèses!$B$59+12,(Hypothèses!$B$57+Hypothèses!$B$58)*Hypothèses!$B$67,0)</f>
        <v>0</v>
      </c>
      <c r="X37" s="22">
        <f>IF(X$4=Hypothèses!$B$59+12,(Hypothèses!$B$57+Hypothèses!$B$58)*Hypothèses!$B$67,0)</f>
        <v>0</v>
      </c>
      <c r="Y37" s="22">
        <f>IF(Y$4=Hypothèses!$B$59+12,(Hypothèses!$B$57+Hypothèses!$B$58)*Hypothèses!$B$67,0)</f>
        <v>0</v>
      </c>
      <c r="Z37" s="22">
        <f>IF(Z$4=Hypothèses!$B$59+12,(Hypothèses!$B$57+Hypothèses!$B$58)*Hypothèses!$B$67,0)</f>
        <v>0</v>
      </c>
      <c r="AA37" s="22">
        <f>IF(AA$4=Hypothèses!$B$59+12,(Hypothèses!$B$57+Hypothèses!$B$58)*Hypothèses!$B$67,0)</f>
        <v>0</v>
      </c>
      <c r="AB37" s="22">
        <f>IF(AB$4=Hypothèses!$B$59+12,(Hypothèses!$B$57+Hypothèses!$B$58)*Hypothèses!$B$67,0)</f>
        <v>0</v>
      </c>
      <c r="AC37" s="22">
        <f>IF(AC$4=Hypothèses!$B$59+12,(Hypothèses!$B$57+Hypothèses!$B$58)*Hypothèses!$B$67,0)</f>
        <v>0</v>
      </c>
      <c r="AD37" s="22">
        <f>IF(AD$4=Hypothèses!$B$59+12,(Hypothèses!$B$57+Hypothèses!$B$58)*Hypothèses!$B$67,0)</f>
        <v>0</v>
      </c>
      <c r="AE37" s="22">
        <f>IF(AE$4=Hypothèses!$B$59+12,(Hypothèses!$B$57+Hypothèses!$B$58)*Hypothèses!$B$67,0)</f>
        <v>0</v>
      </c>
      <c r="AF37" s="22">
        <f>IF(AF$4=Hypothèses!$B$59+12,(Hypothèses!$B$57+Hypothèses!$B$58)*Hypothèses!$B$67,0)</f>
        <v>0</v>
      </c>
      <c r="AG37" s="22">
        <f>IF(AG$4=Hypothèses!$B$59+12,(Hypothèses!$B$57+Hypothèses!$B$58)*Hypothèses!$B$67,0)</f>
        <v>0</v>
      </c>
      <c r="AH37" s="22">
        <f>IF(AH$4=Hypothèses!$B$59+12,(Hypothèses!$B$57+Hypothèses!$B$58)*Hypothèses!$B$67,0)</f>
        <v>0</v>
      </c>
      <c r="AI37" s="22">
        <f>IF(AI$4=Hypothèses!$B$59+12,(Hypothèses!$B$57+Hypothèses!$B$58)*Hypothèses!$B$67,0)</f>
        <v>0</v>
      </c>
      <c r="AJ37" s="22">
        <f>IF(AJ$4=Hypothèses!$B$59+12,(Hypothèses!$B$57+Hypothèses!$B$58)*Hypothèses!$B$67,0)</f>
        <v>0</v>
      </c>
      <c r="AK37" s="22">
        <f>IF(AK$4=Hypothèses!$B$59+12,(Hypothèses!$B$57+Hypothèses!$B$58)*Hypothèses!$B$67,0)</f>
        <v>0</v>
      </c>
      <c r="AL37" s="22">
        <f>IF(AL$4=Hypothèses!$B$59+12,(Hypothèses!$B$57+Hypothèses!$B$58)*Hypothèses!$B$67,0)</f>
        <v>0</v>
      </c>
      <c r="AM37" s="22">
        <f>IF(AM$4=Hypothèses!$B$59+12,(Hypothèses!$B$57+Hypothèses!$B$58)*Hypothèses!$B$67,0)</f>
        <v>0</v>
      </c>
      <c r="AN37" s="22">
        <f>IF(AN$4=Hypothèses!$B$59+12,(Hypothèses!$B$57+Hypothèses!$B$58)*Hypothèses!$B$67,0)</f>
        <v>0</v>
      </c>
      <c r="AO37" s="22">
        <f>IF(AO$4=Hypothèses!$B$59+12,(Hypothèses!$B$57+Hypothèses!$B$58)*Hypothèses!$B$67,0)</f>
        <v>0</v>
      </c>
      <c r="AP37" s="22">
        <f>IF(AP$4=Hypothèses!$B$59+12,(Hypothèses!$B$57+Hypothèses!$B$58)*Hypothèses!$B$67,0)</f>
        <v>0</v>
      </c>
      <c r="AQ37" s="22">
        <f>IF(AQ$4=Hypothèses!$B$59+12,(Hypothèses!$B$57+Hypothèses!$B$58)*Hypothèses!$B$67,0)</f>
        <v>0</v>
      </c>
    </row>
    <row r="38" spans="1:43" x14ac:dyDescent="0.3">
      <c r="A38" s="6" t="s">
        <v>323</v>
      </c>
      <c r="B38" s="22">
        <f t="shared" si="8"/>
        <v>0</v>
      </c>
      <c r="C38" s="22">
        <f t="shared" si="9"/>
        <v>78750</v>
      </c>
      <c r="D38" s="22">
        <f t="shared" si="10"/>
        <v>78750</v>
      </c>
      <c r="E38" s="22">
        <f t="shared" si="11"/>
        <v>78750</v>
      </c>
      <c r="F38" s="22">
        <f t="shared" si="12"/>
        <v>236250</v>
      </c>
      <c r="G38" s="22">
        <v>0</v>
      </c>
      <c r="H38" s="22">
        <f>(H9+H10+IF(H$4&gt;=Hypothèses!$B$59,Hypothèses!$B$57+Hypothèses!$B$58,0))*Hypothèses!$B$81/12*Hypothèses!$B$82*Hypothèses!$B$80</f>
        <v>6562.5</v>
      </c>
      <c r="I38" s="22">
        <f>(I9+I10+IF(I$4&gt;=Hypothèses!$B$59,Hypothèses!$B$57+Hypothèses!$B$58,0))*Hypothèses!$B$81/12*Hypothèses!$B$82*Hypothèses!$B$80</f>
        <v>6562.5</v>
      </c>
      <c r="J38" s="22">
        <f>(J9+J10+IF(J$4&gt;=Hypothèses!$B$59,Hypothèses!$B$57+Hypothèses!$B$58,0))*Hypothèses!$B$81/12*Hypothèses!$B$82*Hypothèses!$B$80</f>
        <v>6562.5</v>
      </c>
      <c r="K38" s="22">
        <f>(K9+K10+IF(K$4&gt;=Hypothèses!$B$59,Hypothèses!$B$57+Hypothèses!$B$58,0))*Hypothèses!$B$81/12*Hypothèses!$B$82*Hypothèses!$B$80</f>
        <v>6562.5</v>
      </c>
      <c r="L38" s="22">
        <f>(L9+L10+IF(L$4&gt;=Hypothèses!$B$59,Hypothèses!$B$57+Hypothèses!$B$58,0))*Hypothèses!$B$81/12*Hypothèses!$B$82*Hypothèses!$B$80</f>
        <v>6562.5</v>
      </c>
      <c r="M38" s="22">
        <f>(M9+M10+IF(M$4&gt;=Hypothèses!$B$59,Hypothèses!$B$57+Hypothèses!$B$58,0))*Hypothèses!$B$81/12*Hypothèses!$B$82*Hypothèses!$B$80</f>
        <v>6562.5</v>
      </c>
      <c r="N38" s="22">
        <f>(N9+N10+IF(N$4&gt;=Hypothèses!$B$59,Hypothèses!$B$57+Hypothèses!$B$58,0))*Hypothèses!$B$81/12*Hypothèses!$B$82*Hypothèses!$B$80</f>
        <v>6562.5</v>
      </c>
      <c r="O38" s="22">
        <f>(O9+O10+IF(O$4&gt;=Hypothèses!$B$59,Hypothèses!$B$57+Hypothèses!$B$58,0))*Hypothèses!$B$81/12*Hypothèses!$B$82*Hypothèses!$B$80</f>
        <v>6562.5</v>
      </c>
      <c r="P38" s="22">
        <f>(P9+P10+IF(P$4&gt;=Hypothèses!$B$59,Hypothèses!$B$57+Hypothèses!$B$58,0))*Hypothèses!$B$81/12*Hypothèses!$B$82*Hypothèses!$B$80</f>
        <v>6562.5</v>
      </c>
      <c r="Q38" s="22">
        <f>(Q9+Q10+IF(Q$4&gt;=Hypothèses!$B$59,Hypothèses!$B$57+Hypothèses!$B$58,0))*Hypothèses!$B$81/12*Hypothèses!$B$82*Hypothèses!$B$80</f>
        <v>6562.5</v>
      </c>
      <c r="R38" s="22">
        <f>(R9+R10+IF(R$4&gt;=Hypothèses!$B$59,Hypothèses!$B$57+Hypothèses!$B$58,0))*Hypothèses!$B$81/12*Hypothèses!$B$82*Hypothèses!$B$80</f>
        <v>6562.5</v>
      </c>
      <c r="S38" s="22">
        <f>(S9+S10+IF(S$4&gt;=Hypothèses!$B$59,Hypothèses!$B$57+Hypothèses!$B$58,0))*Hypothèses!$B$81/12*Hypothèses!$B$82*Hypothèses!$B$80</f>
        <v>6562.5</v>
      </c>
      <c r="T38" s="22">
        <f>(T9+T10+IF(T$4&gt;=Hypothèses!$B$59,Hypothèses!$B$57+Hypothèses!$B$58,0))*Hypothèses!$B$81/12*Hypothèses!$B$82*Hypothèses!$B$80</f>
        <v>6562.5</v>
      </c>
      <c r="U38" s="22">
        <f>(U9+U10+IF(U$4&gt;=Hypothèses!$B$59,Hypothèses!$B$57+Hypothèses!$B$58,0))*Hypothèses!$B$81/12*Hypothèses!$B$82*Hypothèses!$B$80</f>
        <v>6562.5</v>
      </c>
      <c r="V38" s="22">
        <f>(V9+V10+IF(V$4&gt;=Hypothèses!$B$59,Hypothèses!$B$57+Hypothèses!$B$58,0))*Hypothèses!$B$81/12*Hypothèses!$B$82*Hypothèses!$B$80</f>
        <v>6562.5</v>
      </c>
      <c r="W38" s="22">
        <f>(W9+W10+IF(W$4&gt;=Hypothèses!$B$59,Hypothèses!$B$57+Hypothèses!$B$58,0))*Hypothèses!$B$81/12*Hypothèses!$B$82*Hypothèses!$B$80</f>
        <v>6562.5</v>
      </c>
      <c r="X38" s="22">
        <f>(X9+X10+IF(X$4&gt;=Hypothèses!$B$59,Hypothèses!$B$57+Hypothèses!$B$58,0))*Hypothèses!$B$81/12*Hypothèses!$B$82*Hypothèses!$B$80</f>
        <v>6562.5</v>
      </c>
      <c r="Y38" s="22">
        <f>(Y9+Y10+IF(Y$4&gt;=Hypothèses!$B$59,Hypothèses!$B$57+Hypothèses!$B$58,0))*Hypothèses!$B$81/12*Hypothèses!$B$82*Hypothèses!$B$80</f>
        <v>6562.5</v>
      </c>
      <c r="Z38" s="22">
        <f>(Z9+Z10+IF(Z$4&gt;=Hypothèses!$B$59,Hypothèses!$B$57+Hypothèses!$B$58,0))*Hypothèses!$B$81/12*Hypothèses!$B$82*Hypothèses!$B$80</f>
        <v>6562.5</v>
      </c>
      <c r="AA38" s="22">
        <f>(AA9+AA10+IF(AA$4&gt;=Hypothèses!$B$59,Hypothèses!$B$57+Hypothèses!$B$58,0))*Hypothèses!$B$81/12*Hypothèses!$B$82*Hypothèses!$B$80</f>
        <v>6562.5</v>
      </c>
      <c r="AB38" s="22">
        <f>(AB9+AB10+IF(AB$4&gt;=Hypothèses!$B$59,Hypothèses!$B$57+Hypothèses!$B$58,0))*Hypothèses!$B$81/12*Hypothèses!$B$82*Hypothèses!$B$80</f>
        <v>6562.5</v>
      </c>
      <c r="AC38" s="22">
        <f>(AC9+AC10+IF(AC$4&gt;=Hypothèses!$B$59,Hypothèses!$B$57+Hypothèses!$B$58,0))*Hypothèses!$B$81/12*Hypothèses!$B$82*Hypothèses!$B$80</f>
        <v>6562.5</v>
      </c>
      <c r="AD38" s="22">
        <f>(AD9+AD10+IF(AD$4&gt;=Hypothèses!$B$59,Hypothèses!$B$57+Hypothèses!$B$58,0))*Hypothèses!$B$81/12*Hypothèses!$B$82*Hypothèses!$B$80</f>
        <v>6562.5</v>
      </c>
      <c r="AE38" s="22">
        <f>(AE9+AE10+IF(AE$4&gt;=Hypothèses!$B$59,Hypothèses!$B$57+Hypothèses!$B$58,0))*Hypothèses!$B$81/12*Hypothèses!$B$82*Hypothèses!$B$80</f>
        <v>6562.5</v>
      </c>
      <c r="AF38" s="22">
        <f>(AF9+AF10+IF(AF$4&gt;=Hypothèses!$B$59,Hypothèses!$B$57+Hypothèses!$B$58,0))*Hypothèses!$B$81/12*Hypothèses!$B$82*Hypothèses!$B$80</f>
        <v>6562.5</v>
      </c>
      <c r="AG38" s="22">
        <f>(AG9+AG10+IF(AG$4&gt;=Hypothèses!$B$59,Hypothèses!$B$57+Hypothèses!$B$58,0))*Hypothèses!$B$81/12*Hypothèses!$B$82*Hypothèses!$B$80</f>
        <v>6562.5</v>
      </c>
      <c r="AH38" s="22">
        <f>(AH9+AH10+IF(AH$4&gt;=Hypothèses!$B$59,Hypothèses!$B$57+Hypothèses!$B$58,0))*Hypothèses!$B$81/12*Hypothèses!$B$82*Hypothèses!$B$80</f>
        <v>6562.5</v>
      </c>
      <c r="AI38" s="22">
        <f>(AI9+AI10+IF(AI$4&gt;=Hypothèses!$B$59,Hypothèses!$B$57+Hypothèses!$B$58,0))*Hypothèses!$B$81/12*Hypothèses!$B$82*Hypothèses!$B$80</f>
        <v>6562.5</v>
      </c>
      <c r="AJ38" s="22">
        <f>(AJ9+AJ10+IF(AJ$4&gt;=Hypothèses!$B$59,Hypothèses!$B$57+Hypothèses!$B$58,0))*Hypothèses!$B$81/12*Hypothèses!$B$82*Hypothèses!$B$80</f>
        <v>6562.5</v>
      </c>
      <c r="AK38" s="22">
        <f>(AK9+AK10+IF(AK$4&gt;=Hypothèses!$B$59,Hypothèses!$B$57+Hypothèses!$B$58,0))*Hypothèses!$B$81/12*Hypothèses!$B$82*Hypothèses!$B$80</f>
        <v>6562.5</v>
      </c>
      <c r="AL38" s="22">
        <f>(AL9+AL10+IF(AL$4&gt;=Hypothèses!$B$59,Hypothèses!$B$57+Hypothèses!$B$58,0))*Hypothèses!$B$81/12*Hypothèses!$B$82*Hypothèses!$B$80</f>
        <v>6562.5</v>
      </c>
      <c r="AM38" s="22">
        <f>(AM9+AM10+IF(AM$4&gt;=Hypothèses!$B$59,Hypothèses!$B$57+Hypothèses!$B$58,0))*Hypothèses!$B$81/12*Hypothèses!$B$82*Hypothèses!$B$80</f>
        <v>6562.5</v>
      </c>
      <c r="AN38" s="22">
        <f>(AN9+AN10+IF(AN$4&gt;=Hypothèses!$B$59,Hypothèses!$B$57+Hypothèses!$B$58,0))*Hypothèses!$B$81/12*Hypothèses!$B$82*Hypothèses!$B$80</f>
        <v>6562.5</v>
      </c>
      <c r="AO38" s="22">
        <f>(AO9+AO10+IF(AO$4&gt;=Hypothèses!$B$59,Hypothèses!$B$57+Hypothèses!$B$58,0))*Hypothèses!$B$81/12*Hypothèses!$B$82*Hypothèses!$B$80</f>
        <v>6562.5</v>
      </c>
      <c r="AP38" s="22">
        <f>(AP9+AP10+IF(AP$4&gt;=Hypothèses!$B$59,Hypothèses!$B$57+Hypothèses!$B$58,0))*Hypothèses!$B$81/12*Hypothèses!$B$82*Hypothèses!$B$80</f>
        <v>6562.5</v>
      </c>
      <c r="AQ38" s="22">
        <f>(AQ9+AQ10+IF(AQ$4&gt;=Hypothèses!$B$59,Hypothèses!$B$57+Hypothèses!$B$58,0))*Hypothèses!$B$81/12*Hypothèses!$B$82*Hypothèses!$B$80</f>
        <v>6562.5</v>
      </c>
    </row>
    <row r="39" spans="1:43" x14ac:dyDescent="0.3">
      <c r="A39" s="8" t="s">
        <v>237</v>
      </c>
      <c r="B39" s="23">
        <f t="shared" si="8"/>
        <v>0</v>
      </c>
      <c r="C39" s="23">
        <f t="shared" si="9"/>
        <v>7946870</v>
      </c>
      <c r="D39" s="23">
        <f t="shared" si="10"/>
        <v>10452870</v>
      </c>
      <c r="E39" s="23">
        <f t="shared" si="11"/>
        <v>9552870</v>
      </c>
      <c r="F39" s="23">
        <f t="shared" si="12"/>
        <v>27952610</v>
      </c>
      <c r="G39" s="23">
        <f t="shared" ref="G39:AQ39" si="13">SUM(G23:G38)</f>
        <v>0</v>
      </c>
      <c r="H39" s="23">
        <f t="shared" si="13"/>
        <v>670572.5</v>
      </c>
      <c r="I39" s="23">
        <f t="shared" si="13"/>
        <v>670572.5</v>
      </c>
      <c r="J39" s="23">
        <f t="shared" si="13"/>
        <v>795572.5</v>
      </c>
      <c r="K39" s="23">
        <f t="shared" si="13"/>
        <v>670572.5</v>
      </c>
      <c r="L39" s="23">
        <f t="shared" si="13"/>
        <v>670572.5</v>
      </c>
      <c r="M39" s="23">
        <f t="shared" si="13"/>
        <v>795572.5</v>
      </c>
      <c r="N39" s="23">
        <f t="shared" si="13"/>
        <v>570572.5</v>
      </c>
      <c r="O39" s="23">
        <f t="shared" si="13"/>
        <v>570572.5</v>
      </c>
      <c r="P39" s="23">
        <f t="shared" si="13"/>
        <v>695572.5</v>
      </c>
      <c r="Q39" s="23">
        <f t="shared" si="13"/>
        <v>570572.5</v>
      </c>
      <c r="R39" s="23">
        <f t="shared" si="13"/>
        <v>570572.5</v>
      </c>
      <c r="S39" s="23">
        <f t="shared" si="13"/>
        <v>695572.5</v>
      </c>
      <c r="T39" s="23">
        <f t="shared" si="13"/>
        <v>2047572.5</v>
      </c>
      <c r="U39" s="23">
        <f t="shared" si="13"/>
        <v>695572.5</v>
      </c>
      <c r="V39" s="23">
        <f t="shared" si="13"/>
        <v>820572.5</v>
      </c>
      <c r="W39" s="23">
        <f t="shared" si="13"/>
        <v>949572.5</v>
      </c>
      <c r="X39" s="23">
        <f t="shared" si="13"/>
        <v>695572.5</v>
      </c>
      <c r="Y39" s="23">
        <f t="shared" si="13"/>
        <v>820572.5</v>
      </c>
      <c r="Z39" s="23">
        <f t="shared" si="13"/>
        <v>695572.5</v>
      </c>
      <c r="AA39" s="23">
        <f t="shared" si="13"/>
        <v>695572.5</v>
      </c>
      <c r="AB39" s="23">
        <f t="shared" si="13"/>
        <v>820572.5</v>
      </c>
      <c r="AC39" s="23">
        <f t="shared" si="13"/>
        <v>695572.5</v>
      </c>
      <c r="AD39" s="23">
        <f t="shared" si="13"/>
        <v>695572.5</v>
      </c>
      <c r="AE39" s="23">
        <f t="shared" si="13"/>
        <v>820572.5</v>
      </c>
      <c r="AF39" s="23">
        <f t="shared" si="13"/>
        <v>1147572.5</v>
      </c>
      <c r="AG39" s="23">
        <f t="shared" si="13"/>
        <v>695572.5</v>
      </c>
      <c r="AH39" s="23">
        <f t="shared" si="13"/>
        <v>820572.5</v>
      </c>
      <c r="AI39" s="23">
        <f t="shared" si="13"/>
        <v>949572.5</v>
      </c>
      <c r="AJ39" s="23">
        <f t="shared" si="13"/>
        <v>695572.5</v>
      </c>
      <c r="AK39" s="23">
        <f t="shared" si="13"/>
        <v>820572.5</v>
      </c>
      <c r="AL39" s="23">
        <f t="shared" si="13"/>
        <v>695572.5</v>
      </c>
      <c r="AM39" s="23">
        <f t="shared" si="13"/>
        <v>695572.5</v>
      </c>
      <c r="AN39" s="23">
        <f t="shared" si="13"/>
        <v>820572.5</v>
      </c>
      <c r="AO39" s="23">
        <f t="shared" si="13"/>
        <v>695572.5</v>
      </c>
      <c r="AP39" s="23">
        <f t="shared" si="13"/>
        <v>695572.5</v>
      </c>
      <c r="AQ39" s="23">
        <f t="shared" si="13"/>
        <v>820572.5</v>
      </c>
    </row>
    <row r="41" spans="1:43" x14ac:dyDescent="0.3">
      <c r="A41" s="4" t="s">
        <v>238</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spans="1:43" x14ac:dyDescent="0.3">
      <c r="A42" s="6" t="s">
        <v>194</v>
      </c>
      <c r="B42" s="22">
        <f>G42</f>
        <v>0</v>
      </c>
      <c r="C42" s="22">
        <f>SUM(H42:S42)</f>
        <v>465000</v>
      </c>
      <c r="D42" s="22">
        <f>SUM(T42:AE42)</f>
        <v>0</v>
      </c>
      <c r="E42" s="22">
        <f>SUM(AF42:AQ42)</f>
        <v>0</v>
      </c>
      <c r="F42" s="22">
        <f>SUM(B42:E42)</f>
        <v>465000</v>
      </c>
      <c r="G42" s="22">
        <f>G7*Hypothèses!$B$9*Hypothèses!$B$10</f>
        <v>0</v>
      </c>
      <c r="H42" s="22">
        <f>H7*Hypothèses!$B$9*Hypothèses!$B$10</f>
        <v>465000</v>
      </c>
      <c r="I42" s="22">
        <f>I7*Hypothèses!$B$9*Hypothèses!$B$10</f>
        <v>0</v>
      </c>
      <c r="J42" s="22">
        <f>J7*Hypothèses!$B$9*Hypothèses!$B$10</f>
        <v>0</v>
      </c>
      <c r="K42" s="22">
        <f>K7*Hypothèses!$B$9*Hypothèses!$B$10</f>
        <v>0</v>
      </c>
      <c r="L42" s="22">
        <f>L7*Hypothèses!$B$9*Hypothèses!$B$10</f>
        <v>0</v>
      </c>
      <c r="M42" s="22">
        <f>M7*Hypothèses!$B$9*Hypothèses!$B$10</f>
        <v>0</v>
      </c>
      <c r="N42" s="22">
        <f>N7*Hypothèses!$B$9*Hypothèses!$B$10</f>
        <v>0</v>
      </c>
      <c r="O42" s="22">
        <f>O7*Hypothèses!$B$9*Hypothèses!$B$10</f>
        <v>0</v>
      </c>
      <c r="P42" s="22">
        <f>P7*Hypothèses!$B$9*Hypothèses!$B$10</f>
        <v>0</v>
      </c>
      <c r="Q42" s="22">
        <f>Q7*Hypothèses!$B$9*Hypothèses!$B$10</f>
        <v>0</v>
      </c>
      <c r="R42" s="22">
        <f>R7*Hypothèses!$B$9*Hypothèses!$B$10</f>
        <v>0</v>
      </c>
      <c r="S42" s="22">
        <f>S7*Hypothèses!$B$9*Hypothèses!$B$10</f>
        <v>0</v>
      </c>
      <c r="T42" s="22">
        <f>T7*Hypothèses!$B$9*Hypothèses!$B$10</f>
        <v>0</v>
      </c>
      <c r="U42" s="22">
        <f>U7*Hypothèses!$B$9*Hypothèses!$B$10</f>
        <v>0</v>
      </c>
      <c r="V42" s="22">
        <f>V7*Hypothèses!$B$9*Hypothèses!$B$10</f>
        <v>0</v>
      </c>
      <c r="W42" s="22">
        <f>W7*Hypothèses!$B$9*Hypothèses!$B$10</f>
        <v>0</v>
      </c>
      <c r="X42" s="22">
        <f>X7*Hypothèses!$B$9*Hypothèses!$B$10</f>
        <v>0</v>
      </c>
      <c r="Y42" s="22">
        <f>Y7*Hypothèses!$B$9*Hypothèses!$B$10</f>
        <v>0</v>
      </c>
      <c r="Z42" s="22">
        <f>Z7*Hypothèses!$B$9*Hypothèses!$B$10</f>
        <v>0</v>
      </c>
      <c r="AA42" s="22">
        <f>AA7*Hypothèses!$B$9*Hypothèses!$B$10</f>
        <v>0</v>
      </c>
      <c r="AB42" s="22">
        <f>AB7*Hypothèses!$B$9*Hypothèses!$B$10</f>
        <v>0</v>
      </c>
      <c r="AC42" s="22">
        <f>AC7*Hypothèses!$B$9*Hypothèses!$B$10</f>
        <v>0</v>
      </c>
      <c r="AD42" s="22">
        <f>AD7*Hypothèses!$B$9*Hypothèses!$B$10</f>
        <v>0</v>
      </c>
      <c r="AE42" s="22">
        <f>AE7*Hypothèses!$B$9*Hypothèses!$B$10</f>
        <v>0</v>
      </c>
      <c r="AF42" s="22">
        <f>AF7*Hypothèses!$B$9*Hypothèses!$B$10</f>
        <v>0</v>
      </c>
      <c r="AG42" s="22">
        <f>AG7*Hypothèses!$B$9*Hypothèses!$B$10</f>
        <v>0</v>
      </c>
      <c r="AH42" s="22">
        <f>AH7*Hypothèses!$B$9*Hypothèses!$B$10</f>
        <v>0</v>
      </c>
      <c r="AI42" s="22">
        <f>AI7*Hypothèses!$B$9*Hypothèses!$B$10</f>
        <v>0</v>
      </c>
      <c r="AJ42" s="22">
        <f>AJ7*Hypothèses!$B$9*Hypothèses!$B$10</f>
        <v>0</v>
      </c>
      <c r="AK42" s="22">
        <f>AK7*Hypothèses!$B$9*Hypothèses!$B$10</f>
        <v>0</v>
      </c>
      <c r="AL42" s="22">
        <f>AL7*Hypothèses!$B$9*Hypothèses!$B$10</f>
        <v>0</v>
      </c>
      <c r="AM42" s="22">
        <f>AM7*Hypothèses!$B$9*Hypothèses!$B$10</f>
        <v>0</v>
      </c>
      <c r="AN42" s="22">
        <f>AN7*Hypothèses!$B$9*Hypothèses!$B$10</f>
        <v>0</v>
      </c>
      <c r="AO42" s="22">
        <f>AO7*Hypothèses!$B$9*Hypothèses!$B$10</f>
        <v>0</v>
      </c>
      <c r="AP42" s="22">
        <f>AP7*Hypothèses!$B$9*Hypothèses!$B$10</f>
        <v>0</v>
      </c>
      <c r="AQ42" s="22">
        <f>AQ7*Hypothèses!$B$9*Hypothèses!$B$10</f>
        <v>0</v>
      </c>
    </row>
    <row r="43" spans="1:43" x14ac:dyDescent="0.3">
      <c r="A43" s="6" t="s">
        <v>324</v>
      </c>
      <c r="B43" s="22">
        <f>G43</f>
        <v>0</v>
      </c>
      <c r="C43" s="22">
        <f>SUM(H43:S43)</f>
        <v>994583.33333333314</v>
      </c>
      <c r="D43" s="22">
        <f>SUM(T43:AE43)</f>
        <v>90416.666666666672</v>
      </c>
      <c r="E43" s="22">
        <f>SUM(AF43:AQ43)</f>
        <v>0</v>
      </c>
      <c r="F43" s="22">
        <f>SUM(B43:E43)</f>
        <v>1084999.9999999998</v>
      </c>
      <c r="G43" s="22">
        <f>SUMPRODUCT(($G$4:$AQ$4&lt;G$4)*($G$4:$AQ$4&gt;=G$4-Hypothèses!$B$11)*$G$7:$AQ$7)*Hypothèses!$B$9*(1-Hypothèses!$B$10)/Hypothèses!$B$11</f>
        <v>0</v>
      </c>
      <c r="H43" s="22">
        <f>SUMPRODUCT(($G$4:$AQ$4&lt;H$4)*($G$4:$AQ$4&gt;=H$4-Hypothèses!$B$11)*$G$7:$AQ$7)*Hypothèses!$B$9*(1-Hypothèses!$B$10)/Hypothèses!$B$11</f>
        <v>0</v>
      </c>
      <c r="I43" s="22">
        <f>SUMPRODUCT(($G$4:$AQ$4&lt;I$4)*($G$4:$AQ$4&gt;=I$4-Hypothèses!$B$11)*$G$7:$AQ$7)*Hypothèses!$B$9*(1-Hypothèses!$B$10)/Hypothèses!$B$11</f>
        <v>90416.666666666672</v>
      </c>
      <c r="J43" s="22">
        <f>SUMPRODUCT(($G$4:$AQ$4&lt;J$4)*($G$4:$AQ$4&gt;=J$4-Hypothèses!$B$11)*$G$7:$AQ$7)*Hypothèses!$B$9*(1-Hypothèses!$B$10)/Hypothèses!$B$11</f>
        <v>90416.666666666672</v>
      </c>
      <c r="K43" s="22">
        <f>SUMPRODUCT(($G$4:$AQ$4&lt;K$4)*($G$4:$AQ$4&gt;=K$4-Hypothèses!$B$11)*$G$7:$AQ$7)*Hypothèses!$B$9*(1-Hypothèses!$B$10)/Hypothèses!$B$11</f>
        <v>90416.666666666672</v>
      </c>
      <c r="L43" s="22">
        <f>SUMPRODUCT(($G$4:$AQ$4&lt;L$4)*($G$4:$AQ$4&gt;=L$4-Hypothèses!$B$11)*$G$7:$AQ$7)*Hypothèses!$B$9*(1-Hypothèses!$B$10)/Hypothèses!$B$11</f>
        <v>90416.666666666672</v>
      </c>
      <c r="M43" s="22">
        <f>SUMPRODUCT(($G$4:$AQ$4&lt;M$4)*($G$4:$AQ$4&gt;=M$4-Hypothèses!$B$11)*$G$7:$AQ$7)*Hypothèses!$B$9*(1-Hypothèses!$B$10)/Hypothèses!$B$11</f>
        <v>90416.666666666672</v>
      </c>
      <c r="N43" s="22">
        <f>SUMPRODUCT(($G$4:$AQ$4&lt;N$4)*($G$4:$AQ$4&gt;=N$4-Hypothèses!$B$11)*$G$7:$AQ$7)*Hypothèses!$B$9*(1-Hypothèses!$B$10)/Hypothèses!$B$11</f>
        <v>90416.666666666672</v>
      </c>
      <c r="O43" s="22">
        <f>SUMPRODUCT(($G$4:$AQ$4&lt;O$4)*($G$4:$AQ$4&gt;=O$4-Hypothèses!$B$11)*$G$7:$AQ$7)*Hypothèses!$B$9*(1-Hypothèses!$B$10)/Hypothèses!$B$11</f>
        <v>90416.666666666672</v>
      </c>
      <c r="P43" s="22">
        <f>SUMPRODUCT(($G$4:$AQ$4&lt;P$4)*($G$4:$AQ$4&gt;=P$4-Hypothèses!$B$11)*$G$7:$AQ$7)*Hypothèses!$B$9*(1-Hypothèses!$B$10)/Hypothèses!$B$11</f>
        <v>90416.666666666672</v>
      </c>
      <c r="Q43" s="22">
        <f>SUMPRODUCT(($G$4:$AQ$4&lt;Q$4)*($G$4:$AQ$4&gt;=Q$4-Hypothèses!$B$11)*$G$7:$AQ$7)*Hypothèses!$B$9*(1-Hypothèses!$B$10)/Hypothèses!$B$11</f>
        <v>90416.666666666672</v>
      </c>
      <c r="R43" s="22">
        <f>SUMPRODUCT(($G$4:$AQ$4&lt;R$4)*($G$4:$AQ$4&gt;=R$4-Hypothèses!$B$11)*$G$7:$AQ$7)*Hypothèses!$B$9*(1-Hypothèses!$B$10)/Hypothèses!$B$11</f>
        <v>90416.666666666672</v>
      </c>
      <c r="S43" s="22">
        <f>SUMPRODUCT(($G$4:$AQ$4&lt;S$4)*($G$4:$AQ$4&gt;=S$4-Hypothèses!$B$11)*$G$7:$AQ$7)*Hypothèses!$B$9*(1-Hypothèses!$B$10)/Hypothèses!$B$11</f>
        <v>90416.666666666672</v>
      </c>
      <c r="T43" s="22">
        <f>SUMPRODUCT(($G$4:$AQ$4&lt;T$4)*($G$4:$AQ$4&gt;=T$4-Hypothèses!$B$11)*$G$7:$AQ$7)*Hypothèses!$B$9*(1-Hypothèses!$B$10)/Hypothèses!$B$11</f>
        <v>90416.666666666672</v>
      </c>
      <c r="U43" s="22">
        <f>SUMPRODUCT(($G$4:$AQ$4&lt;U$4)*($G$4:$AQ$4&gt;=U$4-Hypothèses!$B$11)*$G$7:$AQ$7)*Hypothèses!$B$9*(1-Hypothèses!$B$10)/Hypothèses!$B$11</f>
        <v>0</v>
      </c>
      <c r="V43" s="22">
        <f>SUMPRODUCT(($G$4:$AQ$4&lt;V$4)*($G$4:$AQ$4&gt;=V$4-Hypothèses!$B$11)*$G$7:$AQ$7)*Hypothèses!$B$9*(1-Hypothèses!$B$10)/Hypothèses!$B$11</f>
        <v>0</v>
      </c>
      <c r="W43" s="22">
        <f>SUMPRODUCT(($G$4:$AQ$4&lt;W$4)*($G$4:$AQ$4&gt;=W$4-Hypothèses!$B$11)*$G$7:$AQ$7)*Hypothèses!$B$9*(1-Hypothèses!$B$10)/Hypothèses!$B$11</f>
        <v>0</v>
      </c>
      <c r="X43" s="22">
        <f>SUMPRODUCT(($G$4:$AQ$4&lt;X$4)*($G$4:$AQ$4&gt;=X$4-Hypothèses!$B$11)*$G$7:$AQ$7)*Hypothèses!$B$9*(1-Hypothèses!$B$10)/Hypothèses!$B$11</f>
        <v>0</v>
      </c>
      <c r="Y43" s="22">
        <f>SUMPRODUCT(($G$4:$AQ$4&lt;Y$4)*($G$4:$AQ$4&gt;=Y$4-Hypothèses!$B$11)*$G$7:$AQ$7)*Hypothèses!$B$9*(1-Hypothèses!$B$10)/Hypothèses!$B$11</f>
        <v>0</v>
      </c>
      <c r="Z43" s="22">
        <f>SUMPRODUCT(($G$4:$AQ$4&lt;Z$4)*($G$4:$AQ$4&gt;=Z$4-Hypothèses!$B$11)*$G$7:$AQ$7)*Hypothèses!$B$9*(1-Hypothèses!$B$10)/Hypothèses!$B$11</f>
        <v>0</v>
      </c>
      <c r="AA43" s="22">
        <f>SUMPRODUCT(($G$4:$AQ$4&lt;AA$4)*($G$4:$AQ$4&gt;=AA$4-Hypothèses!$B$11)*$G$7:$AQ$7)*Hypothèses!$B$9*(1-Hypothèses!$B$10)/Hypothèses!$B$11</f>
        <v>0</v>
      </c>
      <c r="AB43" s="22">
        <f>SUMPRODUCT(($G$4:$AQ$4&lt;AB$4)*($G$4:$AQ$4&gt;=AB$4-Hypothèses!$B$11)*$G$7:$AQ$7)*Hypothèses!$B$9*(1-Hypothèses!$B$10)/Hypothèses!$B$11</f>
        <v>0</v>
      </c>
      <c r="AC43" s="22">
        <f>SUMPRODUCT(($G$4:$AQ$4&lt;AC$4)*($G$4:$AQ$4&gt;=AC$4-Hypothèses!$B$11)*$G$7:$AQ$7)*Hypothèses!$B$9*(1-Hypothèses!$B$10)/Hypothèses!$B$11</f>
        <v>0</v>
      </c>
      <c r="AD43" s="22">
        <f>SUMPRODUCT(($G$4:$AQ$4&lt;AD$4)*($G$4:$AQ$4&gt;=AD$4-Hypothèses!$B$11)*$G$7:$AQ$7)*Hypothèses!$B$9*(1-Hypothèses!$B$10)/Hypothèses!$B$11</f>
        <v>0</v>
      </c>
      <c r="AE43" s="22">
        <f>SUMPRODUCT(($G$4:$AQ$4&lt;AE$4)*($G$4:$AQ$4&gt;=AE$4-Hypothèses!$B$11)*$G$7:$AQ$7)*Hypothèses!$B$9*(1-Hypothèses!$B$10)/Hypothèses!$B$11</f>
        <v>0</v>
      </c>
      <c r="AF43" s="22">
        <f>SUMPRODUCT(($G$4:$AQ$4&lt;AF$4)*($G$4:$AQ$4&gt;=AF$4-Hypothèses!$B$11)*$G$7:$AQ$7)*Hypothèses!$B$9*(1-Hypothèses!$B$10)/Hypothèses!$B$11</f>
        <v>0</v>
      </c>
      <c r="AG43" s="22">
        <f>SUMPRODUCT(($G$4:$AQ$4&lt;AG$4)*($G$4:$AQ$4&gt;=AG$4-Hypothèses!$B$11)*$G$7:$AQ$7)*Hypothèses!$B$9*(1-Hypothèses!$B$10)/Hypothèses!$B$11</f>
        <v>0</v>
      </c>
      <c r="AH43" s="22">
        <f>SUMPRODUCT(($G$4:$AQ$4&lt;AH$4)*($G$4:$AQ$4&gt;=AH$4-Hypothèses!$B$11)*$G$7:$AQ$7)*Hypothèses!$B$9*(1-Hypothèses!$B$10)/Hypothèses!$B$11</f>
        <v>0</v>
      </c>
      <c r="AI43" s="22">
        <f>SUMPRODUCT(($G$4:$AQ$4&lt;AI$4)*($G$4:$AQ$4&gt;=AI$4-Hypothèses!$B$11)*$G$7:$AQ$7)*Hypothèses!$B$9*(1-Hypothèses!$B$10)/Hypothèses!$B$11</f>
        <v>0</v>
      </c>
      <c r="AJ43" s="22">
        <f>SUMPRODUCT(($G$4:$AQ$4&lt;AJ$4)*($G$4:$AQ$4&gt;=AJ$4-Hypothèses!$B$11)*$G$7:$AQ$7)*Hypothèses!$B$9*(1-Hypothèses!$B$10)/Hypothèses!$B$11</f>
        <v>0</v>
      </c>
      <c r="AK43" s="22">
        <f>SUMPRODUCT(($G$4:$AQ$4&lt;AK$4)*($G$4:$AQ$4&gt;=AK$4-Hypothèses!$B$11)*$G$7:$AQ$7)*Hypothèses!$B$9*(1-Hypothèses!$B$10)/Hypothèses!$B$11</f>
        <v>0</v>
      </c>
      <c r="AL43" s="22">
        <f>SUMPRODUCT(($G$4:$AQ$4&lt;AL$4)*($G$4:$AQ$4&gt;=AL$4-Hypothèses!$B$11)*$G$7:$AQ$7)*Hypothèses!$B$9*(1-Hypothèses!$B$10)/Hypothèses!$B$11</f>
        <v>0</v>
      </c>
      <c r="AM43" s="22">
        <f>SUMPRODUCT(($G$4:$AQ$4&lt;AM$4)*($G$4:$AQ$4&gt;=AM$4-Hypothèses!$B$11)*$G$7:$AQ$7)*Hypothèses!$B$9*(1-Hypothèses!$B$10)/Hypothèses!$B$11</f>
        <v>0</v>
      </c>
      <c r="AN43" s="22">
        <f>SUMPRODUCT(($G$4:$AQ$4&lt;AN$4)*($G$4:$AQ$4&gt;=AN$4-Hypothèses!$B$11)*$G$7:$AQ$7)*Hypothèses!$B$9*(1-Hypothèses!$B$10)/Hypothèses!$B$11</f>
        <v>0</v>
      </c>
      <c r="AO43" s="22">
        <f>SUMPRODUCT(($G$4:$AQ$4&lt;AO$4)*($G$4:$AQ$4&gt;=AO$4-Hypothèses!$B$11)*$G$7:$AQ$7)*Hypothèses!$B$9*(1-Hypothèses!$B$10)/Hypothèses!$B$11</f>
        <v>0</v>
      </c>
      <c r="AP43" s="22">
        <f>SUMPRODUCT(($G$4:$AQ$4&lt;AP$4)*($G$4:$AQ$4&gt;=AP$4-Hypothèses!$B$11)*$G$7:$AQ$7)*Hypothèses!$B$9*(1-Hypothèses!$B$10)/Hypothèses!$B$11</f>
        <v>0</v>
      </c>
      <c r="AQ43" s="22">
        <f>SUMPRODUCT(($G$4:$AQ$4&lt;AQ$4)*($G$4:$AQ$4&gt;=AQ$4-Hypothèses!$B$11)*$G$7:$AQ$7)*Hypothèses!$B$9*(1-Hypothèses!$B$10)/Hypothèses!$B$11</f>
        <v>0</v>
      </c>
    </row>
    <row r="44" spans="1:43" x14ac:dyDescent="0.3">
      <c r="A44" s="6" t="s">
        <v>196</v>
      </c>
      <c r="B44" s="22">
        <f>G44</f>
        <v>0</v>
      </c>
      <c r="C44" s="22">
        <f>SUM(H44:S44)</f>
        <v>2375000</v>
      </c>
      <c r="D44" s="22">
        <f>SUM(T44:AE44)</f>
        <v>0</v>
      </c>
      <c r="E44" s="22">
        <f>SUM(AF44:AQ44)</f>
        <v>0</v>
      </c>
      <c r="F44" s="22">
        <f>SUM(B44:E44)</f>
        <v>2375000</v>
      </c>
      <c r="G44" s="22">
        <f>G8*Hypothèses!$B$12</f>
        <v>0</v>
      </c>
      <c r="H44" s="22">
        <f>H8*Hypothèses!$B$12</f>
        <v>2375000</v>
      </c>
      <c r="I44" s="22">
        <f>I8*Hypothèses!$B$12</f>
        <v>0</v>
      </c>
      <c r="J44" s="22">
        <f>J8*Hypothèses!$B$12</f>
        <v>0</v>
      </c>
      <c r="K44" s="22">
        <f>K8*Hypothèses!$B$12</f>
        <v>0</v>
      </c>
      <c r="L44" s="22">
        <f>L8*Hypothèses!$B$12</f>
        <v>0</v>
      </c>
      <c r="M44" s="22">
        <f>M8*Hypothèses!$B$12</f>
        <v>0</v>
      </c>
      <c r="N44" s="22">
        <f>N8*Hypothèses!$B$12</f>
        <v>0</v>
      </c>
      <c r="O44" s="22">
        <f>O8*Hypothèses!$B$12</f>
        <v>0</v>
      </c>
      <c r="P44" s="22">
        <f>P8*Hypothèses!$B$12</f>
        <v>0</v>
      </c>
      <c r="Q44" s="22">
        <f>Q8*Hypothèses!$B$12</f>
        <v>0</v>
      </c>
      <c r="R44" s="22">
        <f>R8*Hypothèses!$B$12</f>
        <v>0</v>
      </c>
      <c r="S44" s="22">
        <f>S8*Hypothèses!$B$12</f>
        <v>0</v>
      </c>
      <c r="T44" s="22">
        <f>T8*Hypothèses!$B$12</f>
        <v>0</v>
      </c>
      <c r="U44" s="22">
        <f>U8*Hypothèses!$B$12</f>
        <v>0</v>
      </c>
      <c r="V44" s="22">
        <f>V8*Hypothèses!$B$12</f>
        <v>0</v>
      </c>
      <c r="W44" s="22">
        <f>W8*Hypothèses!$B$12</f>
        <v>0</v>
      </c>
      <c r="X44" s="22">
        <f>X8*Hypothèses!$B$12</f>
        <v>0</v>
      </c>
      <c r="Y44" s="22">
        <f>Y8*Hypothèses!$B$12</f>
        <v>0</v>
      </c>
      <c r="Z44" s="22">
        <f>Z8*Hypothèses!$B$12</f>
        <v>0</v>
      </c>
      <c r="AA44" s="22">
        <f>AA8*Hypothèses!$B$12</f>
        <v>0</v>
      </c>
      <c r="AB44" s="22">
        <f>AB8*Hypothèses!$B$12</f>
        <v>0</v>
      </c>
      <c r="AC44" s="22">
        <f>AC8*Hypothèses!$B$12</f>
        <v>0</v>
      </c>
      <c r="AD44" s="22">
        <f>AD8*Hypothèses!$B$12</f>
        <v>0</v>
      </c>
      <c r="AE44" s="22">
        <f>AE8*Hypothèses!$B$12</f>
        <v>0</v>
      </c>
      <c r="AF44" s="22">
        <f>AF8*Hypothèses!$B$12</f>
        <v>0</v>
      </c>
      <c r="AG44" s="22">
        <f>AG8*Hypothèses!$B$12</f>
        <v>0</v>
      </c>
      <c r="AH44" s="22">
        <f>AH8*Hypothèses!$B$12</f>
        <v>0</v>
      </c>
      <c r="AI44" s="22">
        <f>AI8*Hypothèses!$B$12</f>
        <v>0</v>
      </c>
      <c r="AJ44" s="22">
        <f>AJ8*Hypothèses!$B$12</f>
        <v>0</v>
      </c>
      <c r="AK44" s="22">
        <f>AK8*Hypothèses!$B$12</f>
        <v>0</v>
      </c>
      <c r="AL44" s="22">
        <f>AL8*Hypothèses!$B$12</f>
        <v>0</v>
      </c>
      <c r="AM44" s="22">
        <f>AM8*Hypothèses!$B$12</f>
        <v>0</v>
      </c>
      <c r="AN44" s="22">
        <f>AN8*Hypothèses!$B$12</f>
        <v>0</v>
      </c>
      <c r="AO44" s="22">
        <f>AO8*Hypothèses!$B$12</f>
        <v>0</v>
      </c>
      <c r="AP44" s="22">
        <f>AP8*Hypothèses!$B$12</f>
        <v>0</v>
      </c>
      <c r="AQ44" s="22">
        <f>AQ8*Hypothèses!$B$12</f>
        <v>0</v>
      </c>
    </row>
    <row r="45" spans="1:43" x14ac:dyDescent="0.3">
      <c r="A45" s="8" t="s">
        <v>239</v>
      </c>
      <c r="B45" s="23">
        <f>G45</f>
        <v>0</v>
      </c>
      <c r="C45" s="23">
        <f>SUM(H45:S45)</f>
        <v>3834583.3333333316</v>
      </c>
      <c r="D45" s="23">
        <f>SUM(T45:AE45)</f>
        <v>90416.666666666672</v>
      </c>
      <c r="E45" s="23">
        <f>SUM(AF45:AQ45)</f>
        <v>0</v>
      </c>
      <c r="F45" s="23">
        <f>SUM(B45:E45)</f>
        <v>3924999.9999999981</v>
      </c>
      <c r="G45" s="23">
        <f t="shared" ref="G45:AQ45" si="14">SUM(G42:G44)</f>
        <v>0</v>
      </c>
      <c r="H45" s="23">
        <f t="shared" si="14"/>
        <v>2840000</v>
      </c>
      <c r="I45" s="23">
        <f t="shared" si="14"/>
        <v>90416.666666666672</v>
      </c>
      <c r="J45" s="23">
        <f t="shared" si="14"/>
        <v>90416.666666666672</v>
      </c>
      <c r="K45" s="23">
        <f t="shared" si="14"/>
        <v>90416.666666666672</v>
      </c>
      <c r="L45" s="23">
        <f t="shared" si="14"/>
        <v>90416.666666666672</v>
      </c>
      <c r="M45" s="23">
        <f t="shared" si="14"/>
        <v>90416.666666666672</v>
      </c>
      <c r="N45" s="23">
        <f t="shared" si="14"/>
        <v>90416.666666666672</v>
      </c>
      <c r="O45" s="23">
        <f t="shared" si="14"/>
        <v>90416.666666666672</v>
      </c>
      <c r="P45" s="23">
        <f t="shared" si="14"/>
        <v>90416.666666666672</v>
      </c>
      <c r="Q45" s="23">
        <f t="shared" si="14"/>
        <v>90416.666666666672</v>
      </c>
      <c r="R45" s="23">
        <f t="shared" si="14"/>
        <v>90416.666666666672</v>
      </c>
      <c r="S45" s="23">
        <f t="shared" si="14"/>
        <v>90416.666666666672</v>
      </c>
      <c r="T45" s="23">
        <f t="shared" si="14"/>
        <v>90416.666666666672</v>
      </c>
      <c r="U45" s="23">
        <f t="shared" si="14"/>
        <v>0</v>
      </c>
      <c r="V45" s="23">
        <f t="shared" si="14"/>
        <v>0</v>
      </c>
      <c r="W45" s="23">
        <f t="shared" si="14"/>
        <v>0</v>
      </c>
      <c r="X45" s="23">
        <f t="shared" si="14"/>
        <v>0</v>
      </c>
      <c r="Y45" s="23">
        <f t="shared" si="14"/>
        <v>0</v>
      </c>
      <c r="Z45" s="23">
        <f t="shared" si="14"/>
        <v>0</v>
      </c>
      <c r="AA45" s="23">
        <f t="shared" si="14"/>
        <v>0</v>
      </c>
      <c r="AB45" s="23">
        <f t="shared" si="14"/>
        <v>0</v>
      </c>
      <c r="AC45" s="23">
        <f t="shared" si="14"/>
        <v>0</v>
      </c>
      <c r="AD45" s="23">
        <f t="shared" si="14"/>
        <v>0</v>
      </c>
      <c r="AE45" s="23">
        <f t="shared" si="14"/>
        <v>0</v>
      </c>
      <c r="AF45" s="23">
        <f t="shared" si="14"/>
        <v>0</v>
      </c>
      <c r="AG45" s="23">
        <f t="shared" si="14"/>
        <v>0</v>
      </c>
      <c r="AH45" s="23">
        <f t="shared" si="14"/>
        <v>0</v>
      </c>
      <c r="AI45" s="23">
        <f t="shared" si="14"/>
        <v>0</v>
      </c>
      <c r="AJ45" s="23">
        <f t="shared" si="14"/>
        <v>0</v>
      </c>
      <c r="AK45" s="23">
        <f t="shared" si="14"/>
        <v>0</v>
      </c>
      <c r="AL45" s="23">
        <f t="shared" si="14"/>
        <v>0</v>
      </c>
      <c r="AM45" s="23">
        <f t="shared" si="14"/>
        <v>0</v>
      </c>
      <c r="AN45" s="23">
        <f t="shared" si="14"/>
        <v>0</v>
      </c>
      <c r="AO45" s="23">
        <f t="shared" si="14"/>
        <v>0</v>
      </c>
      <c r="AP45" s="23">
        <f t="shared" si="14"/>
        <v>0</v>
      </c>
      <c r="AQ45" s="23">
        <f t="shared" si="14"/>
        <v>0</v>
      </c>
    </row>
    <row r="47" spans="1:43" x14ac:dyDescent="0.3">
      <c r="A47" s="4" t="s">
        <v>325</v>
      </c>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spans="1:43" x14ac:dyDescent="0.3">
      <c r="A48" s="6" t="s">
        <v>326</v>
      </c>
      <c r="B48" s="22">
        <f>G48</f>
        <v>0</v>
      </c>
      <c r="C48" s="22">
        <f>SUM(H48:S48)</f>
        <v>75000</v>
      </c>
      <c r="D48" s="22">
        <f>SUM(T48:AE48)</f>
        <v>75000</v>
      </c>
      <c r="E48" s="22">
        <f>SUM(AF48:AQ48)</f>
        <v>75000</v>
      </c>
      <c r="F48" s="22">
        <f>SUM(B48:E48)</f>
        <v>225000</v>
      </c>
      <c r="G48" s="22">
        <f>(SUMPRODUCT(($G$4:$AQ$4=G$4)*$G$7:$AQ$7)+SUMPRODUCT(($G$4:$AQ$4=G$4-12)*$G$7:$AQ$7)+SUMPRODUCT(($G$4:$AQ$4=G$4-24)*$G$7:$AQ$7))*Hypothèses!$B$15</f>
        <v>0</v>
      </c>
      <c r="H48" s="22">
        <f>(SUMPRODUCT(($G$4:$AQ$4=H$4)*$G$7:$AQ$7)+SUMPRODUCT(($G$4:$AQ$4=H$4-12)*$G$7:$AQ$7)+SUMPRODUCT(($G$4:$AQ$4=H$4-24)*$G$7:$AQ$7))*Hypothèses!$B$15</f>
        <v>75000</v>
      </c>
      <c r="I48" s="22">
        <f>(SUMPRODUCT(($G$4:$AQ$4=I$4)*$G$7:$AQ$7)+SUMPRODUCT(($G$4:$AQ$4=I$4-12)*$G$7:$AQ$7)+SUMPRODUCT(($G$4:$AQ$4=I$4-24)*$G$7:$AQ$7))*Hypothèses!$B$15</f>
        <v>0</v>
      </c>
      <c r="J48" s="22">
        <f>(SUMPRODUCT(($G$4:$AQ$4=J$4)*$G$7:$AQ$7)+SUMPRODUCT(($G$4:$AQ$4=J$4-12)*$G$7:$AQ$7)+SUMPRODUCT(($G$4:$AQ$4=J$4-24)*$G$7:$AQ$7))*Hypothèses!$B$15</f>
        <v>0</v>
      </c>
      <c r="K48" s="22">
        <f>(SUMPRODUCT(($G$4:$AQ$4=K$4)*$G$7:$AQ$7)+SUMPRODUCT(($G$4:$AQ$4=K$4-12)*$G$7:$AQ$7)+SUMPRODUCT(($G$4:$AQ$4=K$4-24)*$G$7:$AQ$7))*Hypothèses!$B$15</f>
        <v>0</v>
      </c>
      <c r="L48" s="22">
        <f>(SUMPRODUCT(($G$4:$AQ$4=L$4)*$G$7:$AQ$7)+SUMPRODUCT(($G$4:$AQ$4=L$4-12)*$G$7:$AQ$7)+SUMPRODUCT(($G$4:$AQ$4=L$4-24)*$G$7:$AQ$7))*Hypothèses!$B$15</f>
        <v>0</v>
      </c>
      <c r="M48" s="22">
        <f>(SUMPRODUCT(($G$4:$AQ$4=M$4)*$G$7:$AQ$7)+SUMPRODUCT(($G$4:$AQ$4=M$4-12)*$G$7:$AQ$7)+SUMPRODUCT(($G$4:$AQ$4=M$4-24)*$G$7:$AQ$7))*Hypothèses!$B$15</f>
        <v>0</v>
      </c>
      <c r="N48" s="22">
        <f>(SUMPRODUCT(($G$4:$AQ$4=N$4)*$G$7:$AQ$7)+SUMPRODUCT(($G$4:$AQ$4=N$4-12)*$G$7:$AQ$7)+SUMPRODUCT(($G$4:$AQ$4=N$4-24)*$G$7:$AQ$7))*Hypothèses!$B$15</f>
        <v>0</v>
      </c>
      <c r="O48" s="22">
        <f>(SUMPRODUCT(($G$4:$AQ$4=O$4)*$G$7:$AQ$7)+SUMPRODUCT(($G$4:$AQ$4=O$4-12)*$G$7:$AQ$7)+SUMPRODUCT(($G$4:$AQ$4=O$4-24)*$G$7:$AQ$7))*Hypothèses!$B$15</f>
        <v>0</v>
      </c>
      <c r="P48" s="22">
        <f>(SUMPRODUCT(($G$4:$AQ$4=P$4)*$G$7:$AQ$7)+SUMPRODUCT(($G$4:$AQ$4=P$4-12)*$G$7:$AQ$7)+SUMPRODUCT(($G$4:$AQ$4=P$4-24)*$G$7:$AQ$7))*Hypothèses!$B$15</f>
        <v>0</v>
      </c>
      <c r="Q48" s="22">
        <f>(SUMPRODUCT(($G$4:$AQ$4=Q$4)*$G$7:$AQ$7)+SUMPRODUCT(($G$4:$AQ$4=Q$4-12)*$G$7:$AQ$7)+SUMPRODUCT(($G$4:$AQ$4=Q$4-24)*$G$7:$AQ$7))*Hypothèses!$B$15</f>
        <v>0</v>
      </c>
      <c r="R48" s="22">
        <f>(SUMPRODUCT(($G$4:$AQ$4=R$4)*$G$7:$AQ$7)+SUMPRODUCT(($G$4:$AQ$4=R$4-12)*$G$7:$AQ$7)+SUMPRODUCT(($G$4:$AQ$4=R$4-24)*$G$7:$AQ$7))*Hypothèses!$B$15</f>
        <v>0</v>
      </c>
      <c r="S48" s="22">
        <f>(SUMPRODUCT(($G$4:$AQ$4=S$4)*$G$7:$AQ$7)+SUMPRODUCT(($G$4:$AQ$4=S$4-12)*$G$7:$AQ$7)+SUMPRODUCT(($G$4:$AQ$4=S$4-24)*$G$7:$AQ$7))*Hypothèses!$B$15</f>
        <v>0</v>
      </c>
      <c r="T48" s="22">
        <f>(SUMPRODUCT(($G$4:$AQ$4=T$4)*$G$7:$AQ$7)+SUMPRODUCT(($G$4:$AQ$4=T$4-12)*$G$7:$AQ$7)+SUMPRODUCT(($G$4:$AQ$4=T$4-24)*$G$7:$AQ$7))*Hypothèses!$B$15</f>
        <v>75000</v>
      </c>
      <c r="U48" s="22">
        <f>(SUMPRODUCT(($G$4:$AQ$4=U$4)*$G$7:$AQ$7)+SUMPRODUCT(($G$4:$AQ$4=U$4-12)*$G$7:$AQ$7)+SUMPRODUCT(($G$4:$AQ$4=U$4-24)*$G$7:$AQ$7))*Hypothèses!$B$15</f>
        <v>0</v>
      </c>
      <c r="V48" s="22">
        <f>(SUMPRODUCT(($G$4:$AQ$4=V$4)*$G$7:$AQ$7)+SUMPRODUCT(($G$4:$AQ$4=V$4-12)*$G$7:$AQ$7)+SUMPRODUCT(($G$4:$AQ$4=V$4-24)*$G$7:$AQ$7))*Hypothèses!$B$15</f>
        <v>0</v>
      </c>
      <c r="W48" s="22">
        <f>(SUMPRODUCT(($G$4:$AQ$4=W$4)*$G$7:$AQ$7)+SUMPRODUCT(($G$4:$AQ$4=W$4-12)*$G$7:$AQ$7)+SUMPRODUCT(($G$4:$AQ$4=W$4-24)*$G$7:$AQ$7))*Hypothèses!$B$15</f>
        <v>0</v>
      </c>
      <c r="X48" s="22">
        <f>(SUMPRODUCT(($G$4:$AQ$4=X$4)*$G$7:$AQ$7)+SUMPRODUCT(($G$4:$AQ$4=X$4-12)*$G$7:$AQ$7)+SUMPRODUCT(($G$4:$AQ$4=X$4-24)*$G$7:$AQ$7))*Hypothèses!$B$15</f>
        <v>0</v>
      </c>
      <c r="Y48" s="22">
        <f>(SUMPRODUCT(($G$4:$AQ$4=Y$4)*$G$7:$AQ$7)+SUMPRODUCT(($G$4:$AQ$4=Y$4-12)*$G$7:$AQ$7)+SUMPRODUCT(($G$4:$AQ$4=Y$4-24)*$G$7:$AQ$7))*Hypothèses!$B$15</f>
        <v>0</v>
      </c>
      <c r="Z48" s="22">
        <f>(SUMPRODUCT(($G$4:$AQ$4=Z$4)*$G$7:$AQ$7)+SUMPRODUCT(($G$4:$AQ$4=Z$4-12)*$G$7:$AQ$7)+SUMPRODUCT(($G$4:$AQ$4=Z$4-24)*$G$7:$AQ$7))*Hypothèses!$B$15</f>
        <v>0</v>
      </c>
      <c r="AA48" s="22">
        <f>(SUMPRODUCT(($G$4:$AQ$4=AA$4)*$G$7:$AQ$7)+SUMPRODUCT(($G$4:$AQ$4=AA$4-12)*$G$7:$AQ$7)+SUMPRODUCT(($G$4:$AQ$4=AA$4-24)*$G$7:$AQ$7))*Hypothèses!$B$15</f>
        <v>0</v>
      </c>
      <c r="AB48" s="22">
        <f>(SUMPRODUCT(($G$4:$AQ$4=AB$4)*$G$7:$AQ$7)+SUMPRODUCT(($G$4:$AQ$4=AB$4-12)*$G$7:$AQ$7)+SUMPRODUCT(($G$4:$AQ$4=AB$4-24)*$G$7:$AQ$7))*Hypothèses!$B$15</f>
        <v>0</v>
      </c>
      <c r="AC48" s="22">
        <f>(SUMPRODUCT(($G$4:$AQ$4=AC$4)*$G$7:$AQ$7)+SUMPRODUCT(($G$4:$AQ$4=AC$4-12)*$G$7:$AQ$7)+SUMPRODUCT(($G$4:$AQ$4=AC$4-24)*$G$7:$AQ$7))*Hypothèses!$B$15</f>
        <v>0</v>
      </c>
      <c r="AD48" s="22">
        <f>(SUMPRODUCT(($G$4:$AQ$4=AD$4)*$G$7:$AQ$7)+SUMPRODUCT(($G$4:$AQ$4=AD$4-12)*$G$7:$AQ$7)+SUMPRODUCT(($G$4:$AQ$4=AD$4-24)*$G$7:$AQ$7))*Hypothèses!$B$15</f>
        <v>0</v>
      </c>
      <c r="AE48" s="22">
        <f>(SUMPRODUCT(($G$4:$AQ$4=AE$4)*$G$7:$AQ$7)+SUMPRODUCT(($G$4:$AQ$4=AE$4-12)*$G$7:$AQ$7)+SUMPRODUCT(($G$4:$AQ$4=AE$4-24)*$G$7:$AQ$7))*Hypothèses!$B$15</f>
        <v>0</v>
      </c>
      <c r="AF48" s="22">
        <f>(SUMPRODUCT(($G$4:$AQ$4=AF$4)*$G$7:$AQ$7)+SUMPRODUCT(($G$4:$AQ$4=AF$4-12)*$G$7:$AQ$7)+SUMPRODUCT(($G$4:$AQ$4=AF$4-24)*$G$7:$AQ$7))*Hypothèses!$B$15</f>
        <v>75000</v>
      </c>
      <c r="AG48" s="22">
        <f>(SUMPRODUCT(($G$4:$AQ$4=AG$4)*$G$7:$AQ$7)+SUMPRODUCT(($G$4:$AQ$4=AG$4-12)*$G$7:$AQ$7)+SUMPRODUCT(($G$4:$AQ$4=AG$4-24)*$G$7:$AQ$7))*Hypothèses!$B$15</f>
        <v>0</v>
      </c>
      <c r="AH48" s="22">
        <f>(SUMPRODUCT(($G$4:$AQ$4=AH$4)*$G$7:$AQ$7)+SUMPRODUCT(($G$4:$AQ$4=AH$4-12)*$G$7:$AQ$7)+SUMPRODUCT(($G$4:$AQ$4=AH$4-24)*$G$7:$AQ$7))*Hypothèses!$B$15</f>
        <v>0</v>
      </c>
      <c r="AI48" s="22">
        <f>(SUMPRODUCT(($G$4:$AQ$4=AI$4)*$G$7:$AQ$7)+SUMPRODUCT(($G$4:$AQ$4=AI$4-12)*$G$7:$AQ$7)+SUMPRODUCT(($G$4:$AQ$4=AI$4-24)*$G$7:$AQ$7))*Hypothèses!$B$15</f>
        <v>0</v>
      </c>
      <c r="AJ48" s="22">
        <f>(SUMPRODUCT(($G$4:$AQ$4=AJ$4)*$G$7:$AQ$7)+SUMPRODUCT(($G$4:$AQ$4=AJ$4-12)*$G$7:$AQ$7)+SUMPRODUCT(($G$4:$AQ$4=AJ$4-24)*$G$7:$AQ$7))*Hypothèses!$B$15</f>
        <v>0</v>
      </c>
      <c r="AK48" s="22">
        <f>(SUMPRODUCT(($G$4:$AQ$4=AK$4)*$G$7:$AQ$7)+SUMPRODUCT(($G$4:$AQ$4=AK$4-12)*$G$7:$AQ$7)+SUMPRODUCT(($G$4:$AQ$4=AK$4-24)*$G$7:$AQ$7))*Hypothèses!$B$15</f>
        <v>0</v>
      </c>
      <c r="AL48" s="22">
        <f>(SUMPRODUCT(($G$4:$AQ$4=AL$4)*$G$7:$AQ$7)+SUMPRODUCT(($G$4:$AQ$4=AL$4-12)*$G$7:$AQ$7)+SUMPRODUCT(($G$4:$AQ$4=AL$4-24)*$G$7:$AQ$7))*Hypothèses!$B$15</f>
        <v>0</v>
      </c>
      <c r="AM48" s="22">
        <f>(SUMPRODUCT(($G$4:$AQ$4=AM$4)*$G$7:$AQ$7)+SUMPRODUCT(($G$4:$AQ$4=AM$4-12)*$G$7:$AQ$7)+SUMPRODUCT(($G$4:$AQ$4=AM$4-24)*$G$7:$AQ$7))*Hypothèses!$B$15</f>
        <v>0</v>
      </c>
      <c r="AN48" s="22">
        <f>(SUMPRODUCT(($G$4:$AQ$4=AN$4)*$G$7:$AQ$7)+SUMPRODUCT(($G$4:$AQ$4=AN$4-12)*$G$7:$AQ$7)+SUMPRODUCT(($G$4:$AQ$4=AN$4-24)*$G$7:$AQ$7))*Hypothèses!$B$15</f>
        <v>0</v>
      </c>
      <c r="AO48" s="22">
        <f>(SUMPRODUCT(($G$4:$AQ$4=AO$4)*$G$7:$AQ$7)+SUMPRODUCT(($G$4:$AQ$4=AO$4-12)*$G$7:$AQ$7)+SUMPRODUCT(($G$4:$AQ$4=AO$4-24)*$G$7:$AQ$7))*Hypothèses!$B$15</f>
        <v>0</v>
      </c>
      <c r="AP48" s="22">
        <f>(SUMPRODUCT(($G$4:$AQ$4=AP$4)*$G$7:$AQ$7)+SUMPRODUCT(($G$4:$AQ$4=AP$4-12)*$G$7:$AQ$7)+SUMPRODUCT(($G$4:$AQ$4=AP$4-24)*$G$7:$AQ$7))*Hypothèses!$B$15</f>
        <v>0</v>
      </c>
      <c r="AQ48" s="22">
        <f>(SUMPRODUCT(($G$4:$AQ$4=AQ$4)*$G$7:$AQ$7)+SUMPRODUCT(($G$4:$AQ$4=AQ$4-12)*$G$7:$AQ$7)+SUMPRODUCT(($G$4:$AQ$4=AQ$4-24)*$G$7:$AQ$7))*Hypothèses!$B$15</f>
        <v>0</v>
      </c>
    </row>
    <row r="49" spans="1:43" x14ac:dyDescent="0.3">
      <c r="A49" s="6" t="s">
        <v>327</v>
      </c>
      <c r="B49" s="22">
        <f>G49</f>
        <v>0</v>
      </c>
      <c r="C49" s="22">
        <f>SUM(H49:S49)</f>
        <v>250000</v>
      </c>
      <c r="D49" s="22">
        <f>SUM(T49:AE49)</f>
        <v>0</v>
      </c>
      <c r="E49" s="22">
        <f>SUM(AF49:AQ49)</f>
        <v>0</v>
      </c>
      <c r="F49" s="22">
        <f>SUM(B49:E49)</f>
        <v>250000</v>
      </c>
      <c r="G49" s="22">
        <f>G8*Hypothèses!$B$16</f>
        <v>0</v>
      </c>
      <c r="H49" s="22">
        <f>H8*Hypothèses!$B$16</f>
        <v>250000</v>
      </c>
      <c r="I49" s="22">
        <f>I8*Hypothèses!$B$16</f>
        <v>0</v>
      </c>
      <c r="J49" s="22">
        <f>J8*Hypothèses!$B$16</f>
        <v>0</v>
      </c>
      <c r="K49" s="22">
        <f>K8*Hypothèses!$B$16</f>
        <v>0</v>
      </c>
      <c r="L49" s="22">
        <f>L8*Hypothèses!$B$16</f>
        <v>0</v>
      </c>
      <c r="M49" s="22">
        <f>M8*Hypothèses!$B$16</f>
        <v>0</v>
      </c>
      <c r="N49" s="22">
        <f>N8*Hypothèses!$B$16</f>
        <v>0</v>
      </c>
      <c r="O49" s="22">
        <f>O8*Hypothèses!$B$16</f>
        <v>0</v>
      </c>
      <c r="P49" s="22">
        <f>P8*Hypothèses!$B$16</f>
        <v>0</v>
      </c>
      <c r="Q49" s="22">
        <f>Q8*Hypothèses!$B$16</f>
        <v>0</v>
      </c>
      <c r="R49" s="22">
        <f>R8*Hypothèses!$B$16</f>
        <v>0</v>
      </c>
      <c r="S49" s="22">
        <f>S8*Hypothèses!$B$16</f>
        <v>0</v>
      </c>
      <c r="T49" s="22">
        <f>T8*Hypothèses!$B$16</f>
        <v>0</v>
      </c>
      <c r="U49" s="22">
        <f>U8*Hypothèses!$B$16</f>
        <v>0</v>
      </c>
      <c r="V49" s="22">
        <f>V8*Hypothèses!$B$16</f>
        <v>0</v>
      </c>
      <c r="W49" s="22">
        <f>W8*Hypothèses!$B$16</f>
        <v>0</v>
      </c>
      <c r="X49" s="22">
        <f>X8*Hypothèses!$B$16</f>
        <v>0</v>
      </c>
      <c r="Y49" s="22">
        <f>Y8*Hypothèses!$B$16</f>
        <v>0</v>
      </c>
      <c r="Z49" s="22">
        <f>Z8*Hypothèses!$B$16</f>
        <v>0</v>
      </c>
      <c r="AA49" s="22">
        <f>AA8*Hypothèses!$B$16</f>
        <v>0</v>
      </c>
      <c r="AB49" s="22">
        <f>AB8*Hypothèses!$B$16</f>
        <v>0</v>
      </c>
      <c r="AC49" s="22">
        <f>AC8*Hypothèses!$B$16</f>
        <v>0</v>
      </c>
      <c r="AD49" s="22">
        <f>AD8*Hypothèses!$B$16</f>
        <v>0</v>
      </c>
      <c r="AE49" s="22">
        <f>AE8*Hypothèses!$B$16</f>
        <v>0</v>
      </c>
      <c r="AF49" s="22">
        <f>AF8*Hypothèses!$B$16</f>
        <v>0</v>
      </c>
      <c r="AG49" s="22">
        <f>AG8*Hypothèses!$B$16</f>
        <v>0</v>
      </c>
      <c r="AH49" s="22">
        <f>AH8*Hypothèses!$B$16</f>
        <v>0</v>
      </c>
      <c r="AI49" s="22">
        <f>AI8*Hypothèses!$B$16</f>
        <v>0</v>
      </c>
      <c r="AJ49" s="22">
        <f>AJ8*Hypothèses!$B$16</f>
        <v>0</v>
      </c>
      <c r="AK49" s="22">
        <f>AK8*Hypothèses!$B$16</f>
        <v>0</v>
      </c>
      <c r="AL49" s="22">
        <f>AL8*Hypothèses!$B$16</f>
        <v>0</v>
      </c>
      <c r="AM49" s="22">
        <f>AM8*Hypothèses!$B$16</f>
        <v>0</v>
      </c>
      <c r="AN49" s="22">
        <f>AN8*Hypothèses!$B$16</f>
        <v>0</v>
      </c>
      <c r="AO49" s="22">
        <f>AO8*Hypothèses!$B$16</f>
        <v>0</v>
      </c>
      <c r="AP49" s="22">
        <f>AP8*Hypothèses!$B$16</f>
        <v>0</v>
      </c>
      <c r="AQ49" s="22">
        <f>AQ8*Hypothèses!$B$16</f>
        <v>0</v>
      </c>
    </row>
    <row r="50" spans="1:43" x14ac:dyDescent="0.3">
      <c r="A50" s="6" t="s">
        <v>328</v>
      </c>
      <c r="B50" s="22">
        <f>G50</f>
        <v>0</v>
      </c>
      <c r="C50" s="22">
        <f>SUM(H50:S50)</f>
        <v>139000</v>
      </c>
      <c r="D50" s="22">
        <f>SUM(T50:AE50)</f>
        <v>89000</v>
      </c>
      <c r="E50" s="22">
        <f>SUM(AF50:AQ50)</f>
        <v>89000</v>
      </c>
      <c r="F50" s="22">
        <f>SUM(B50:E50)</f>
        <v>317000</v>
      </c>
      <c r="G50" s="22">
        <f>G7*Hypothèses!$B$17+(SUMPRODUCT(($G$4:$AQ$4=G$4-12)*$G$7:$AQ$7)+SUMPRODUCT(($G$4:$AQ$4=G$4-24)*$G$7:$AQ$7))*Hypothèses!$B$18</f>
        <v>0</v>
      </c>
      <c r="H50" s="22">
        <f>H7*Hypothèses!$B$17+(SUMPRODUCT(($G$4:$AQ$4=H$4-12)*$G$7:$AQ$7)+SUMPRODUCT(($G$4:$AQ$4=H$4-24)*$G$7:$AQ$7))*Hypothèses!$B$18</f>
        <v>139000</v>
      </c>
      <c r="I50" s="22">
        <f>I7*Hypothèses!$B$17+(SUMPRODUCT(($G$4:$AQ$4=I$4-12)*$G$7:$AQ$7)+SUMPRODUCT(($G$4:$AQ$4=I$4-24)*$G$7:$AQ$7))*Hypothèses!$B$18</f>
        <v>0</v>
      </c>
      <c r="J50" s="22">
        <f>J7*Hypothèses!$B$17+(SUMPRODUCT(($G$4:$AQ$4=J$4-12)*$G$7:$AQ$7)+SUMPRODUCT(($G$4:$AQ$4=J$4-24)*$G$7:$AQ$7))*Hypothèses!$B$18</f>
        <v>0</v>
      </c>
      <c r="K50" s="22">
        <f>K7*Hypothèses!$B$17+(SUMPRODUCT(($G$4:$AQ$4=K$4-12)*$G$7:$AQ$7)+SUMPRODUCT(($G$4:$AQ$4=K$4-24)*$G$7:$AQ$7))*Hypothèses!$B$18</f>
        <v>0</v>
      </c>
      <c r="L50" s="22">
        <f>L7*Hypothèses!$B$17+(SUMPRODUCT(($G$4:$AQ$4=L$4-12)*$G$7:$AQ$7)+SUMPRODUCT(($G$4:$AQ$4=L$4-24)*$G$7:$AQ$7))*Hypothèses!$B$18</f>
        <v>0</v>
      </c>
      <c r="M50" s="22">
        <f>M7*Hypothèses!$B$17+(SUMPRODUCT(($G$4:$AQ$4=M$4-12)*$G$7:$AQ$7)+SUMPRODUCT(($G$4:$AQ$4=M$4-24)*$G$7:$AQ$7))*Hypothèses!$B$18</f>
        <v>0</v>
      </c>
      <c r="N50" s="22">
        <f>N7*Hypothèses!$B$17+(SUMPRODUCT(($G$4:$AQ$4=N$4-12)*$G$7:$AQ$7)+SUMPRODUCT(($G$4:$AQ$4=N$4-24)*$G$7:$AQ$7))*Hypothèses!$B$18</f>
        <v>0</v>
      </c>
      <c r="O50" s="22">
        <f>O7*Hypothèses!$B$17+(SUMPRODUCT(($G$4:$AQ$4=O$4-12)*$G$7:$AQ$7)+SUMPRODUCT(($G$4:$AQ$4=O$4-24)*$G$7:$AQ$7))*Hypothèses!$B$18</f>
        <v>0</v>
      </c>
      <c r="P50" s="22">
        <f>P7*Hypothèses!$B$17+(SUMPRODUCT(($G$4:$AQ$4=P$4-12)*$G$7:$AQ$7)+SUMPRODUCT(($G$4:$AQ$4=P$4-24)*$G$7:$AQ$7))*Hypothèses!$B$18</f>
        <v>0</v>
      </c>
      <c r="Q50" s="22">
        <f>Q7*Hypothèses!$B$17+(SUMPRODUCT(($G$4:$AQ$4=Q$4-12)*$G$7:$AQ$7)+SUMPRODUCT(($G$4:$AQ$4=Q$4-24)*$G$7:$AQ$7))*Hypothèses!$B$18</f>
        <v>0</v>
      </c>
      <c r="R50" s="22">
        <f>R7*Hypothèses!$B$17+(SUMPRODUCT(($G$4:$AQ$4=R$4-12)*$G$7:$AQ$7)+SUMPRODUCT(($G$4:$AQ$4=R$4-24)*$G$7:$AQ$7))*Hypothèses!$B$18</f>
        <v>0</v>
      </c>
      <c r="S50" s="22">
        <f>S7*Hypothèses!$B$17+(SUMPRODUCT(($G$4:$AQ$4=S$4-12)*$G$7:$AQ$7)+SUMPRODUCT(($G$4:$AQ$4=S$4-24)*$G$7:$AQ$7))*Hypothèses!$B$18</f>
        <v>0</v>
      </c>
      <c r="T50" s="22">
        <f>T7*Hypothèses!$B$17+(SUMPRODUCT(($G$4:$AQ$4=T$4-12)*$G$7:$AQ$7)+SUMPRODUCT(($G$4:$AQ$4=T$4-24)*$G$7:$AQ$7))*Hypothèses!$B$18</f>
        <v>89000</v>
      </c>
      <c r="U50" s="22">
        <f>U7*Hypothèses!$B$17+(SUMPRODUCT(($G$4:$AQ$4=U$4-12)*$G$7:$AQ$7)+SUMPRODUCT(($G$4:$AQ$4=U$4-24)*$G$7:$AQ$7))*Hypothèses!$B$18</f>
        <v>0</v>
      </c>
      <c r="V50" s="22">
        <f>V7*Hypothèses!$B$17+(SUMPRODUCT(($G$4:$AQ$4=V$4-12)*$G$7:$AQ$7)+SUMPRODUCT(($G$4:$AQ$4=V$4-24)*$G$7:$AQ$7))*Hypothèses!$B$18</f>
        <v>0</v>
      </c>
      <c r="W50" s="22">
        <f>W7*Hypothèses!$B$17+(SUMPRODUCT(($G$4:$AQ$4=W$4-12)*$G$7:$AQ$7)+SUMPRODUCT(($G$4:$AQ$4=W$4-24)*$G$7:$AQ$7))*Hypothèses!$B$18</f>
        <v>0</v>
      </c>
      <c r="X50" s="22">
        <f>X7*Hypothèses!$B$17+(SUMPRODUCT(($G$4:$AQ$4=X$4-12)*$G$7:$AQ$7)+SUMPRODUCT(($G$4:$AQ$4=X$4-24)*$G$7:$AQ$7))*Hypothèses!$B$18</f>
        <v>0</v>
      </c>
      <c r="Y50" s="22">
        <f>Y7*Hypothèses!$B$17+(SUMPRODUCT(($G$4:$AQ$4=Y$4-12)*$G$7:$AQ$7)+SUMPRODUCT(($G$4:$AQ$4=Y$4-24)*$G$7:$AQ$7))*Hypothèses!$B$18</f>
        <v>0</v>
      </c>
      <c r="Z50" s="22">
        <f>Z7*Hypothèses!$B$17+(SUMPRODUCT(($G$4:$AQ$4=Z$4-12)*$G$7:$AQ$7)+SUMPRODUCT(($G$4:$AQ$4=Z$4-24)*$G$7:$AQ$7))*Hypothèses!$B$18</f>
        <v>0</v>
      </c>
      <c r="AA50" s="22">
        <f>AA7*Hypothèses!$B$17+(SUMPRODUCT(($G$4:$AQ$4=AA$4-12)*$G$7:$AQ$7)+SUMPRODUCT(($G$4:$AQ$4=AA$4-24)*$G$7:$AQ$7))*Hypothèses!$B$18</f>
        <v>0</v>
      </c>
      <c r="AB50" s="22">
        <f>AB7*Hypothèses!$B$17+(SUMPRODUCT(($G$4:$AQ$4=AB$4-12)*$G$7:$AQ$7)+SUMPRODUCT(($G$4:$AQ$4=AB$4-24)*$G$7:$AQ$7))*Hypothèses!$B$18</f>
        <v>0</v>
      </c>
      <c r="AC50" s="22">
        <f>AC7*Hypothèses!$B$17+(SUMPRODUCT(($G$4:$AQ$4=AC$4-12)*$G$7:$AQ$7)+SUMPRODUCT(($G$4:$AQ$4=AC$4-24)*$G$7:$AQ$7))*Hypothèses!$B$18</f>
        <v>0</v>
      </c>
      <c r="AD50" s="22">
        <f>AD7*Hypothèses!$B$17+(SUMPRODUCT(($G$4:$AQ$4=AD$4-12)*$G$7:$AQ$7)+SUMPRODUCT(($G$4:$AQ$4=AD$4-24)*$G$7:$AQ$7))*Hypothèses!$B$18</f>
        <v>0</v>
      </c>
      <c r="AE50" s="22">
        <f>AE7*Hypothèses!$B$17+(SUMPRODUCT(($G$4:$AQ$4=AE$4-12)*$G$7:$AQ$7)+SUMPRODUCT(($G$4:$AQ$4=AE$4-24)*$G$7:$AQ$7))*Hypothèses!$B$18</f>
        <v>0</v>
      </c>
      <c r="AF50" s="22">
        <f>AF7*Hypothèses!$B$17+(SUMPRODUCT(($G$4:$AQ$4=AF$4-12)*$G$7:$AQ$7)+SUMPRODUCT(($G$4:$AQ$4=AF$4-24)*$G$7:$AQ$7))*Hypothèses!$B$18</f>
        <v>89000</v>
      </c>
      <c r="AG50" s="22">
        <f>AG7*Hypothèses!$B$17+(SUMPRODUCT(($G$4:$AQ$4=AG$4-12)*$G$7:$AQ$7)+SUMPRODUCT(($G$4:$AQ$4=AG$4-24)*$G$7:$AQ$7))*Hypothèses!$B$18</f>
        <v>0</v>
      </c>
      <c r="AH50" s="22">
        <f>AH7*Hypothèses!$B$17+(SUMPRODUCT(($G$4:$AQ$4=AH$4-12)*$G$7:$AQ$7)+SUMPRODUCT(($G$4:$AQ$4=AH$4-24)*$G$7:$AQ$7))*Hypothèses!$B$18</f>
        <v>0</v>
      </c>
      <c r="AI50" s="22">
        <f>AI7*Hypothèses!$B$17+(SUMPRODUCT(($G$4:$AQ$4=AI$4-12)*$G$7:$AQ$7)+SUMPRODUCT(($G$4:$AQ$4=AI$4-24)*$G$7:$AQ$7))*Hypothèses!$B$18</f>
        <v>0</v>
      </c>
      <c r="AJ50" s="22">
        <f>AJ7*Hypothèses!$B$17+(SUMPRODUCT(($G$4:$AQ$4=AJ$4-12)*$G$7:$AQ$7)+SUMPRODUCT(($G$4:$AQ$4=AJ$4-24)*$G$7:$AQ$7))*Hypothèses!$B$18</f>
        <v>0</v>
      </c>
      <c r="AK50" s="22">
        <f>AK7*Hypothèses!$B$17+(SUMPRODUCT(($G$4:$AQ$4=AK$4-12)*$G$7:$AQ$7)+SUMPRODUCT(($G$4:$AQ$4=AK$4-24)*$G$7:$AQ$7))*Hypothèses!$B$18</f>
        <v>0</v>
      </c>
      <c r="AL50" s="22">
        <f>AL7*Hypothèses!$B$17+(SUMPRODUCT(($G$4:$AQ$4=AL$4-12)*$G$7:$AQ$7)+SUMPRODUCT(($G$4:$AQ$4=AL$4-24)*$G$7:$AQ$7))*Hypothèses!$B$18</f>
        <v>0</v>
      </c>
      <c r="AM50" s="22">
        <f>AM7*Hypothèses!$B$17+(SUMPRODUCT(($G$4:$AQ$4=AM$4-12)*$G$7:$AQ$7)+SUMPRODUCT(($G$4:$AQ$4=AM$4-24)*$G$7:$AQ$7))*Hypothèses!$B$18</f>
        <v>0</v>
      </c>
      <c r="AN50" s="22">
        <f>AN7*Hypothèses!$B$17+(SUMPRODUCT(($G$4:$AQ$4=AN$4-12)*$G$7:$AQ$7)+SUMPRODUCT(($G$4:$AQ$4=AN$4-24)*$G$7:$AQ$7))*Hypothèses!$B$18</f>
        <v>0</v>
      </c>
      <c r="AO50" s="22">
        <f>AO7*Hypothèses!$B$17+(SUMPRODUCT(($G$4:$AQ$4=AO$4-12)*$G$7:$AQ$7)+SUMPRODUCT(($G$4:$AQ$4=AO$4-24)*$G$7:$AQ$7))*Hypothèses!$B$18</f>
        <v>0</v>
      </c>
      <c r="AP50" s="22">
        <f>AP7*Hypothèses!$B$17+(SUMPRODUCT(($G$4:$AQ$4=AP$4-12)*$G$7:$AQ$7)+SUMPRODUCT(($G$4:$AQ$4=AP$4-24)*$G$7:$AQ$7))*Hypothèses!$B$18</f>
        <v>0</v>
      </c>
      <c r="AQ50" s="22">
        <f>AQ7*Hypothèses!$B$17+(SUMPRODUCT(($G$4:$AQ$4=AQ$4-12)*$G$7:$AQ$7)+SUMPRODUCT(($G$4:$AQ$4=AQ$4-24)*$G$7:$AQ$7))*Hypothèses!$B$18</f>
        <v>0</v>
      </c>
    </row>
    <row r="51" spans="1:43" x14ac:dyDescent="0.3">
      <c r="A51" s="6" t="s">
        <v>329</v>
      </c>
      <c r="B51" s="22">
        <f>G51</f>
        <v>0</v>
      </c>
      <c r="C51" s="22">
        <f>SUM(H51:S51)</f>
        <v>695000</v>
      </c>
      <c r="D51" s="22">
        <f>SUM(T51:AE51)</f>
        <v>0</v>
      </c>
      <c r="E51" s="22">
        <f>SUM(AF51:AQ51)</f>
        <v>0</v>
      </c>
      <c r="F51" s="22">
        <f>SUM(B51:E51)</f>
        <v>695000</v>
      </c>
      <c r="G51" s="22">
        <f>G8*Hypothèses!$B$19</f>
        <v>0</v>
      </c>
      <c r="H51" s="22">
        <f>H8*Hypothèses!$B$19</f>
        <v>695000</v>
      </c>
      <c r="I51" s="22">
        <f>I8*Hypothèses!$B$19</f>
        <v>0</v>
      </c>
      <c r="J51" s="22">
        <f>J8*Hypothèses!$B$19</f>
        <v>0</v>
      </c>
      <c r="K51" s="22">
        <f>K8*Hypothèses!$B$19</f>
        <v>0</v>
      </c>
      <c r="L51" s="22">
        <f>L8*Hypothèses!$B$19</f>
        <v>0</v>
      </c>
      <c r="M51" s="22">
        <f>M8*Hypothèses!$B$19</f>
        <v>0</v>
      </c>
      <c r="N51" s="22">
        <f>N8*Hypothèses!$B$19</f>
        <v>0</v>
      </c>
      <c r="O51" s="22">
        <f>O8*Hypothèses!$B$19</f>
        <v>0</v>
      </c>
      <c r="P51" s="22">
        <f>P8*Hypothèses!$B$19</f>
        <v>0</v>
      </c>
      <c r="Q51" s="22">
        <f>Q8*Hypothèses!$B$19</f>
        <v>0</v>
      </c>
      <c r="R51" s="22">
        <f>R8*Hypothèses!$B$19</f>
        <v>0</v>
      </c>
      <c r="S51" s="22">
        <f>S8*Hypothèses!$B$19</f>
        <v>0</v>
      </c>
      <c r="T51" s="22">
        <f>T8*Hypothèses!$B$19</f>
        <v>0</v>
      </c>
      <c r="U51" s="22">
        <f>U8*Hypothèses!$B$19</f>
        <v>0</v>
      </c>
      <c r="V51" s="22">
        <f>V8*Hypothèses!$B$19</f>
        <v>0</v>
      </c>
      <c r="W51" s="22">
        <f>W8*Hypothèses!$B$19</f>
        <v>0</v>
      </c>
      <c r="X51" s="22">
        <f>X8*Hypothèses!$B$19</f>
        <v>0</v>
      </c>
      <c r="Y51" s="22">
        <f>Y8*Hypothèses!$B$19</f>
        <v>0</v>
      </c>
      <c r="Z51" s="22">
        <f>Z8*Hypothèses!$B$19</f>
        <v>0</v>
      </c>
      <c r="AA51" s="22">
        <f>AA8*Hypothèses!$B$19</f>
        <v>0</v>
      </c>
      <c r="AB51" s="22">
        <f>AB8*Hypothèses!$B$19</f>
        <v>0</v>
      </c>
      <c r="AC51" s="22">
        <f>AC8*Hypothèses!$B$19</f>
        <v>0</v>
      </c>
      <c r="AD51" s="22">
        <f>AD8*Hypothèses!$B$19</f>
        <v>0</v>
      </c>
      <c r="AE51" s="22">
        <f>AE8*Hypothèses!$B$19</f>
        <v>0</v>
      </c>
      <c r="AF51" s="22">
        <f>AF8*Hypothèses!$B$19</f>
        <v>0</v>
      </c>
      <c r="AG51" s="22">
        <f>AG8*Hypothèses!$B$19</f>
        <v>0</v>
      </c>
      <c r="AH51" s="22">
        <f>AH8*Hypothèses!$B$19</f>
        <v>0</v>
      </c>
      <c r="AI51" s="22">
        <f>AI8*Hypothèses!$B$19</f>
        <v>0</v>
      </c>
      <c r="AJ51" s="22">
        <f>AJ8*Hypothèses!$B$19</f>
        <v>0</v>
      </c>
      <c r="AK51" s="22">
        <f>AK8*Hypothèses!$B$19</f>
        <v>0</v>
      </c>
      <c r="AL51" s="22">
        <f>AL8*Hypothèses!$B$19</f>
        <v>0</v>
      </c>
      <c r="AM51" s="22">
        <f>AM8*Hypothèses!$B$19</f>
        <v>0</v>
      </c>
      <c r="AN51" s="22">
        <f>AN8*Hypothèses!$B$19</f>
        <v>0</v>
      </c>
      <c r="AO51" s="22">
        <f>AO8*Hypothèses!$B$19</f>
        <v>0</v>
      </c>
      <c r="AP51" s="22">
        <f>AP8*Hypothèses!$B$19</f>
        <v>0</v>
      </c>
      <c r="AQ51" s="22">
        <f>AQ8*Hypothèses!$B$19</f>
        <v>0</v>
      </c>
    </row>
    <row r="52" spans="1:43" x14ac:dyDescent="0.3">
      <c r="A52" s="8" t="s">
        <v>241</v>
      </c>
      <c r="B52" s="23">
        <f>G52</f>
        <v>0</v>
      </c>
      <c r="C52" s="23">
        <f>SUM(H52:S52)</f>
        <v>1159000</v>
      </c>
      <c r="D52" s="23">
        <f>SUM(T52:AE52)</f>
        <v>164000</v>
      </c>
      <c r="E52" s="23">
        <f>SUM(AF52:AQ52)</f>
        <v>164000</v>
      </c>
      <c r="F52" s="23">
        <f>SUM(B52:E52)</f>
        <v>1487000</v>
      </c>
      <c r="G52" s="23">
        <f t="shared" ref="G52:AQ52" si="15">SUM(G48:G51)</f>
        <v>0</v>
      </c>
      <c r="H52" s="23">
        <f t="shared" si="15"/>
        <v>1159000</v>
      </c>
      <c r="I52" s="23">
        <f t="shared" si="15"/>
        <v>0</v>
      </c>
      <c r="J52" s="23">
        <f t="shared" si="15"/>
        <v>0</v>
      </c>
      <c r="K52" s="23">
        <f t="shared" si="15"/>
        <v>0</v>
      </c>
      <c r="L52" s="23">
        <f t="shared" si="15"/>
        <v>0</v>
      </c>
      <c r="M52" s="23">
        <f t="shared" si="15"/>
        <v>0</v>
      </c>
      <c r="N52" s="23">
        <f t="shared" si="15"/>
        <v>0</v>
      </c>
      <c r="O52" s="23">
        <f t="shared" si="15"/>
        <v>0</v>
      </c>
      <c r="P52" s="23">
        <f t="shared" si="15"/>
        <v>0</v>
      </c>
      <c r="Q52" s="23">
        <f t="shared" si="15"/>
        <v>0</v>
      </c>
      <c r="R52" s="23">
        <f t="shared" si="15"/>
        <v>0</v>
      </c>
      <c r="S52" s="23">
        <f t="shared" si="15"/>
        <v>0</v>
      </c>
      <c r="T52" s="23">
        <f t="shared" si="15"/>
        <v>164000</v>
      </c>
      <c r="U52" s="23">
        <f t="shared" si="15"/>
        <v>0</v>
      </c>
      <c r="V52" s="23">
        <f t="shared" si="15"/>
        <v>0</v>
      </c>
      <c r="W52" s="23">
        <f t="shared" si="15"/>
        <v>0</v>
      </c>
      <c r="X52" s="23">
        <f t="shared" si="15"/>
        <v>0</v>
      </c>
      <c r="Y52" s="23">
        <f t="shared" si="15"/>
        <v>0</v>
      </c>
      <c r="Z52" s="23">
        <f t="shared" si="15"/>
        <v>0</v>
      </c>
      <c r="AA52" s="23">
        <f t="shared" si="15"/>
        <v>0</v>
      </c>
      <c r="AB52" s="23">
        <f t="shared" si="15"/>
        <v>0</v>
      </c>
      <c r="AC52" s="23">
        <f t="shared" si="15"/>
        <v>0</v>
      </c>
      <c r="AD52" s="23">
        <f t="shared" si="15"/>
        <v>0</v>
      </c>
      <c r="AE52" s="23">
        <f t="shared" si="15"/>
        <v>0</v>
      </c>
      <c r="AF52" s="23">
        <f t="shared" si="15"/>
        <v>164000</v>
      </c>
      <c r="AG52" s="23">
        <f t="shared" si="15"/>
        <v>0</v>
      </c>
      <c r="AH52" s="23">
        <f t="shared" si="15"/>
        <v>0</v>
      </c>
      <c r="AI52" s="23">
        <f t="shared" si="15"/>
        <v>0</v>
      </c>
      <c r="AJ52" s="23">
        <f t="shared" si="15"/>
        <v>0</v>
      </c>
      <c r="AK52" s="23">
        <f t="shared" si="15"/>
        <v>0</v>
      </c>
      <c r="AL52" s="23">
        <f t="shared" si="15"/>
        <v>0</v>
      </c>
      <c r="AM52" s="23">
        <f t="shared" si="15"/>
        <v>0</v>
      </c>
      <c r="AN52" s="23">
        <f t="shared" si="15"/>
        <v>0</v>
      </c>
      <c r="AO52" s="23">
        <f t="shared" si="15"/>
        <v>0</v>
      </c>
      <c r="AP52" s="23">
        <f t="shared" si="15"/>
        <v>0</v>
      </c>
      <c r="AQ52" s="23">
        <f t="shared" si="15"/>
        <v>0</v>
      </c>
    </row>
    <row r="54" spans="1:43" x14ac:dyDescent="0.3">
      <c r="A54" s="10" t="s">
        <v>330</v>
      </c>
      <c r="B54" s="24">
        <f>G54</f>
        <v>4550000</v>
      </c>
      <c r="C54" s="24">
        <f>SUM(H54:S54)</f>
        <v>12940453.33333333</v>
      </c>
      <c r="D54" s="24">
        <f>SUM(T54:AE54)</f>
        <v>10707286.666666666</v>
      </c>
      <c r="E54" s="24">
        <f>SUM(AF54:AQ54)</f>
        <v>9716870</v>
      </c>
      <c r="F54" s="24">
        <f>SUM(B54:E54)</f>
        <v>37914609.999999993</v>
      </c>
      <c r="G54" s="24">
        <f t="shared" ref="G54:AQ54" si="16">G20+G39+G45+G52</f>
        <v>4550000</v>
      </c>
      <c r="H54" s="24">
        <f t="shared" si="16"/>
        <v>4669572.5</v>
      </c>
      <c r="I54" s="24">
        <f t="shared" si="16"/>
        <v>760989.16666666663</v>
      </c>
      <c r="J54" s="24">
        <f t="shared" si="16"/>
        <v>885989.16666666663</v>
      </c>
      <c r="K54" s="24">
        <f t="shared" si="16"/>
        <v>760989.16666666663</v>
      </c>
      <c r="L54" s="24">
        <f t="shared" si="16"/>
        <v>760989.16666666663</v>
      </c>
      <c r="M54" s="24">
        <f t="shared" si="16"/>
        <v>885989.16666666663</v>
      </c>
      <c r="N54" s="24">
        <f t="shared" si="16"/>
        <v>660989.16666666663</v>
      </c>
      <c r="O54" s="24">
        <f t="shared" si="16"/>
        <v>660989.16666666663</v>
      </c>
      <c r="P54" s="24">
        <f t="shared" si="16"/>
        <v>785989.16666666663</v>
      </c>
      <c r="Q54" s="24">
        <f t="shared" si="16"/>
        <v>660989.16666666663</v>
      </c>
      <c r="R54" s="24">
        <f t="shared" si="16"/>
        <v>660989.16666666663</v>
      </c>
      <c r="S54" s="24">
        <f t="shared" si="16"/>
        <v>785989.16666666663</v>
      </c>
      <c r="T54" s="24">
        <f t="shared" si="16"/>
        <v>2301989.1666666665</v>
      </c>
      <c r="U54" s="24">
        <f t="shared" si="16"/>
        <v>695572.5</v>
      </c>
      <c r="V54" s="24">
        <f t="shared" si="16"/>
        <v>820572.5</v>
      </c>
      <c r="W54" s="24">
        <f t="shared" si="16"/>
        <v>949572.5</v>
      </c>
      <c r="X54" s="24">
        <f t="shared" si="16"/>
        <v>695572.5</v>
      </c>
      <c r="Y54" s="24">
        <f t="shared" si="16"/>
        <v>820572.5</v>
      </c>
      <c r="Z54" s="24">
        <f t="shared" si="16"/>
        <v>695572.5</v>
      </c>
      <c r="AA54" s="24">
        <f t="shared" si="16"/>
        <v>695572.5</v>
      </c>
      <c r="AB54" s="24">
        <f t="shared" si="16"/>
        <v>820572.5</v>
      </c>
      <c r="AC54" s="24">
        <f t="shared" si="16"/>
        <v>695572.5</v>
      </c>
      <c r="AD54" s="24">
        <f t="shared" si="16"/>
        <v>695572.5</v>
      </c>
      <c r="AE54" s="24">
        <f t="shared" si="16"/>
        <v>820572.5</v>
      </c>
      <c r="AF54" s="24">
        <f t="shared" si="16"/>
        <v>1311572.5</v>
      </c>
      <c r="AG54" s="24">
        <f t="shared" si="16"/>
        <v>695572.5</v>
      </c>
      <c r="AH54" s="24">
        <f t="shared" si="16"/>
        <v>820572.5</v>
      </c>
      <c r="AI54" s="24">
        <f t="shared" si="16"/>
        <v>949572.5</v>
      </c>
      <c r="AJ54" s="24">
        <f t="shared" si="16"/>
        <v>695572.5</v>
      </c>
      <c r="AK54" s="24">
        <f t="shared" si="16"/>
        <v>820572.5</v>
      </c>
      <c r="AL54" s="24">
        <f t="shared" si="16"/>
        <v>695572.5</v>
      </c>
      <c r="AM54" s="24">
        <f t="shared" si="16"/>
        <v>695572.5</v>
      </c>
      <c r="AN54" s="24">
        <f t="shared" si="16"/>
        <v>820572.5</v>
      </c>
      <c r="AO54" s="24">
        <f t="shared" si="16"/>
        <v>695572.5</v>
      </c>
      <c r="AP54" s="24">
        <f t="shared" si="16"/>
        <v>695572.5</v>
      </c>
      <c r="AQ54" s="24">
        <f t="shared" si="16"/>
        <v>820572.5</v>
      </c>
    </row>
    <row r="55" spans="1:43" x14ac:dyDescent="0.3">
      <c r="A55" s="12" t="s">
        <v>331</v>
      </c>
      <c r="G55" s="25">
        <f>G54</f>
        <v>4550000</v>
      </c>
      <c r="H55" s="25">
        <f t="shared" ref="H55:AQ55" si="17">G55+H54</f>
        <v>9219572.5</v>
      </c>
      <c r="I55" s="25">
        <f t="shared" si="17"/>
        <v>9980561.666666666</v>
      </c>
      <c r="J55" s="25">
        <f t="shared" si="17"/>
        <v>10866550.833333332</v>
      </c>
      <c r="K55" s="25">
        <f t="shared" si="17"/>
        <v>11627539.999999998</v>
      </c>
      <c r="L55" s="25">
        <f t="shared" si="17"/>
        <v>12388529.166666664</v>
      </c>
      <c r="M55" s="25">
        <f t="shared" si="17"/>
        <v>13274518.33333333</v>
      </c>
      <c r="N55" s="25">
        <f t="shared" si="17"/>
        <v>13935507.499999996</v>
      </c>
      <c r="O55" s="25">
        <f t="shared" si="17"/>
        <v>14596496.666666662</v>
      </c>
      <c r="P55" s="25">
        <f t="shared" si="17"/>
        <v>15382485.833333328</v>
      </c>
      <c r="Q55" s="25">
        <f t="shared" si="17"/>
        <v>16043474.999999994</v>
      </c>
      <c r="R55" s="25">
        <f t="shared" si="17"/>
        <v>16704464.16666666</v>
      </c>
      <c r="S55" s="25">
        <f t="shared" si="17"/>
        <v>17490453.333333328</v>
      </c>
      <c r="T55" s="25">
        <f t="shared" si="17"/>
        <v>19792442.499999996</v>
      </c>
      <c r="U55" s="25">
        <f t="shared" si="17"/>
        <v>20488014.999999996</v>
      </c>
      <c r="V55" s="25">
        <f t="shared" si="17"/>
        <v>21308587.499999996</v>
      </c>
      <c r="W55" s="25">
        <f t="shared" si="17"/>
        <v>22258159.999999996</v>
      </c>
      <c r="X55" s="25">
        <f t="shared" si="17"/>
        <v>22953732.499999996</v>
      </c>
      <c r="Y55" s="25">
        <f t="shared" si="17"/>
        <v>23774304.999999996</v>
      </c>
      <c r="Z55" s="25">
        <f t="shared" si="17"/>
        <v>24469877.499999996</v>
      </c>
      <c r="AA55" s="25">
        <f t="shared" si="17"/>
        <v>25165449.999999996</v>
      </c>
      <c r="AB55" s="25">
        <f t="shared" si="17"/>
        <v>25986022.499999996</v>
      </c>
      <c r="AC55" s="25">
        <f t="shared" si="17"/>
        <v>26681594.999999996</v>
      </c>
      <c r="AD55" s="25">
        <f t="shared" si="17"/>
        <v>27377167.499999996</v>
      </c>
      <c r="AE55" s="25">
        <f t="shared" si="17"/>
        <v>28197739.999999996</v>
      </c>
      <c r="AF55" s="25">
        <f t="shared" si="17"/>
        <v>29509312.499999996</v>
      </c>
      <c r="AG55" s="25">
        <f t="shared" si="17"/>
        <v>30204884.999999996</v>
      </c>
      <c r="AH55" s="25">
        <f t="shared" si="17"/>
        <v>31025457.499999996</v>
      </c>
      <c r="AI55" s="25">
        <f t="shared" si="17"/>
        <v>31975029.999999996</v>
      </c>
      <c r="AJ55" s="25">
        <f t="shared" si="17"/>
        <v>32670602.499999996</v>
      </c>
      <c r="AK55" s="25">
        <f t="shared" si="17"/>
        <v>33491174.999999996</v>
      </c>
      <c r="AL55" s="25">
        <f t="shared" si="17"/>
        <v>34186747.5</v>
      </c>
      <c r="AM55" s="25">
        <f t="shared" si="17"/>
        <v>34882320</v>
      </c>
      <c r="AN55" s="25">
        <f t="shared" si="17"/>
        <v>35702892.5</v>
      </c>
      <c r="AO55" s="25">
        <f t="shared" si="17"/>
        <v>36398465</v>
      </c>
      <c r="AP55" s="25">
        <f t="shared" si="17"/>
        <v>37094037.5</v>
      </c>
      <c r="AQ55" s="25">
        <f t="shared" si="17"/>
        <v>37914610</v>
      </c>
    </row>
    <row r="57" spans="1:43" x14ac:dyDescent="0.3">
      <c r="A57" s="4" t="s">
        <v>332</v>
      </c>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spans="1:43" x14ac:dyDescent="0.3">
      <c r="A58" s="6" t="s">
        <v>333</v>
      </c>
      <c r="B58" s="22">
        <f>G58</f>
        <v>0</v>
      </c>
      <c r="C58" s="22">
        <f>SUM(H58:S58)</f>
        <v>1320583.3333333335</v>
      </c>
      <c r="D58" s="22">
        <f>SUM(T58:AE58)</f>
        <v>1352000.0000000007</v>
      </c>
      <c r="E58" s="22">
        <f>SUM(AF58:AQ58)</f>
        <v>1352000.0000000007</v>
      </c>
      <c r="F58" s="22">
        <f>SUM(B58:E58)</f>
        <v>4024583.3333333349</v>
      </c>
      <c r="G58" s="22">
        <v>0</v>
      </c>
      <c r="H58" s="22">
        <f>Hypothèses!$B$45*Hypothèses!$B$47*SUMPRODUCT($G$7:$AQ$7*((H$4-$G$4:$AQ$4)&gt;=0)*(1-0.5*((H$4-$G$4:$AQ$4)=0))*(Hypothèses!$B$71*((H$4-$G$4:$AQ$4)&lt;12)+Hypothèses!$B$72*((H$4-$G$4:$AQ$4)&gt;=12)*((H$4-$G$4:$AQ$4)&lt;Hypothèses!$B$74)+Hypothèses!$B$73*((H$4-$G$4:$AQ$4)&gt;=Hypothèses!$B$74)))</f>
        <v>57416.666666666672</v>
      </c>
      <c r="I58" s="22">
        <f>Hypothèses!$B$45*Hypothèses!$B$47*SUMPRODUCT($G$7:$AQ$7*((I$4-$G$4:$AQ$4)&gt;=0)*(1-0.5*((I$4-$G$4:$AQ$4)=0))*(Hypothèses!$B$71*((I$4-$G$4:$AQ$4)&lt;12)+Hypothèses!$B$72*((I$4-$G$4:$AQ$4)&gt;=12)*((I$4-$G$4:$AQ$4)&lt;Hypothèses!$B$74)+Hypothèses!$B$73*((I$4-$G$4:$AQ$4)&gt;=Hypothèses!$B$74)))</f>
        <v>114833.33333333334</v>
      </c>
      <c r="J58" s="22">
        <f>Hypothèses!$B$45*Hypothèses!$B$47*SUMPRODUCT($G$7:$AQ$7*((J$4-$G$4:$AQ$4)&gt;=0)*(1-0.5*((J$4-$G$4:$AQ$4)=0))*(Hypothèses!$B$71*((J$4-$G$4:$AQ$4)&lt;12)+Hypothèses!$B$72*((J$4-$G$4:$AQ$4)&gt;=12)*((J$4-$G$4:$AQ$4)&lt;Hypothèses!$B$74)+Hypothèses!$B$73*((J$4-$G$4:$AQ$4)&gt;=Hypothèses!$B$74)))</f>
        <v>114833.33333333334</v>
      </c>
      <c r="K58" s="22">
        <f>Hypothèses!$B$45*Hypothèses!$B$47*SUMPRODUCT($G$7:$AQ$7*((K$4-$G$4:$AQ$4)&gt;=0)*(1-0.5*((K$4-$G$4:$AQ$4)=0))*(Hypothèses!$B$71*((K$4-$G$4:$AQ$4)&lt;12)+Hypothèses!$B$72*((K$4-$G$4:$AQ$4)&gt;=12)*((K$4-$G$4:$AQ$4)&lt;Hypothèses!$B$74)+Hypothèses!$B$73*((K$4-$G$4:$AQ$4)&gt;=Hypothèses!$B$74)))</f>
        <v>114833.33333333334</v>
      </c>
      <c r="L58" s="22">
        <f>Hypothèses!$B$45*Hypothèses!$B$47*SUMPRODUCT($G$7:$AQ$7*((L$4-$G$4:$AQ$4)&gt;=0)*(1-0.5*((L$4-$G$4:$AQ$4)=0))*(Hypothèses!$B$71*((L$4-$G$4:$AQ$4)&lt;12)+Hypothèses!$B$72*((L$4-$G$4:$AQ$4)&gt;=12)*((L$4-$G$4:$AQ$4)&lt;Hypothèses!$B$74)+Hypothèses!$B$73*((L$4-$G$4:$AQ$4)&gt;=Hypothèses!$B$74)))</f>
        <v>114833.33333333334</v>
      </c>
      <c r="M58" s="22">
        <f>Hypothèses!$B$45*Hypothèses!$B$47*SUMPRODUCT($G$7:$AQ$7*((M$4-$G$4:$AQ$4)&gt;=0)*(1-0.5*((M$4-$G$4:$AQ$4)=0))*(Hypothèses!$B$71*((M$4-$G$4:$AQ$4)&lt;12)+Hypothèses!$B$72*((M$4-$G$4:$AQ$4)&gt;=12)*((M$4-$G$4:$AQ$4)&lt;Hypothèses!$B$74)+Hypothèses!$B$73*((M$4-$G$4:$AQ$4)&gt;=Hypothèses!$B$74)))</f>
        <v>114833.33333333334</v>
      </c>
      <c r="N58" s="22">
        <f>Hypothèses!$B$45*Hypothèses!$B$47*SUMPRODUCT($G$7:$AQ$7*((N$4-$G$4:$AQ$4)&gt;=0)*(1-0.5*((N$4-$G$4:$AQ$4)=0))*(Hypothèses!$B$71*((N$4-$G$4:$AQ$4)&lt;12)+Hypothèses!$B$72*((N$4-$G$4:$AQ$4)&gt;=12)*((N$4-$G$4:$AQ$4)&lt;Hypothèses!$B$74)+Hypothèses!$B$73*((N$4-$G$4:$AQ$4)&gt;=Hypothèses!$B$74)))</f>
        <v>114833.33333333334</v>
      </c>
      <c r="O58" s="22">
        <f>Hypothèses!$B$45*Hypothèses!$B$47*SUMPRODUCT($G$7:$AQ$7*((O$4-$G$4:$AQ$4)&gt;=0)*(1-0.5*((O$4-$G$4:$AQ$4)=0))*(Hypothèses!$B$71*((O$4-$G$4:$AQ$4)&lt;12)+Hypothèses!$B$72*((O$4-$G$4:$AQ$4)&gt;=12)*((O$4-$G$4:$AQ$4)&lt;Hypothèses!$B$74)+Hypothèses!$B$73*((O$4-$G$4:$AQ$4)&gt;=Hypothèses!$B$74)))</f>
        <v>114833.33333333334</v>
      </c>
      <c r="P58" s="22">
        <f>Hypothèses!$B$45*Hypothèses!$B$47*SUMPRODUCT($G$7:$AQ$7*((P$4-$G$4:$AQ$4)&gt;=0)*(1-0.5*((P$4-$G$4:$AQ$4)=0))*(Hypothèses!$B$71*((P$4-$G$4:$AQ$4)&lt;12)+Hypothèses!$B$72*((P$4-$G$4:$AQ$4)&gt;=12)*((P$4-$G$4:$AQ$4)&lt;Hypothèses!$B$74)+Hypothèses!$B$73*((P$4-$G$4:$AQ$4)&gt;=Hypothèses!$B$74)))</f>
        <v>114833.33333333334</v>
      </c>
      <c r="Q58" s="22">
        <f>Hypothèses!$B$45*Hypothèses!$B$47*SUMPRODUCT($G$7:$AQ$7*((Q$4-$G$4:$AQ$4)&gt;=0)*(1-0.5*((Q$4-$G$4:$AQ$4)=0))*(Hypothèses!$B$71*((Q$4-$G$4:$AQ$4)&lt;12)+Hypothèses!$B$72*((Q$4-$G$4:$AQ$4)&gt;=12)*((Q$4-$G$4:$AQ$4)&lt;Hypothèses!$B$74)+Hypothèses!$B$73*((Q$4-$G$4:$AQ$4)&gt;=Hypothèses!$B$74)))</f>
        <v>114833.33333333334</v>
      </c>
      <c r="R58" s="22">
        <f>Hypothèses!$B$45*Hypothèses!$B$47*SUMPRODUCT($G$7:$AQ$7*((R$4-$G$4:$AQ$4)&gt;=0)*(1-0.5*((R$4-$G$4:$AQ$4)=0))*(Hypothèses!$B$71*((R$4-$G$4:$AQ$4)&lt;12)+Hypothèses!$B$72*((R$4-$G$4:$AQ$4)&gt;=12)*((R$4-$G$4:$AQ$4)&lt;Hypothèses!$B$74)+Hypothèses!$B$73*((R$4-$G$4:$AQ$4)&gt;=Hypothèses!$B$74)))</f>
        <v>114833.33333333334</v>
      </c>
      <c r="S58" s="22">
        <f>Hypothèses!$B$45*Hypothèses!$B$47*SUMPRODUCT($G$7:$AQ$7*((S$4-$G$4:$AQ$4)&gt;=0)*(1-0.5*((S$4-$G$4:$AQ$4)=0))*(Hypothèses!$B$71*((S$4-$G$4:$AQ$4)&lt;12)+Hypothèses!$B$72*((S$4-$G$4:$AQ$4)&gt;=12)*((S$4-$G$4:$AQ$4)&lt;Hypothèses!$B$74)+Hypothèses!$B$73*((S$4-$G$4:$AQ$4)&gt;=Hypothèses!$B$74)))</f>
        <v>114833.33333333334</v>
      </c>
      <c r="T58" s="22">
        <f>Hypothèses!$B$45*Hypothèses!$B$47*SUMPRODUCT($G$7:$AQ$7*((T$4-$G$4:$AQ$4)&gt;=0)*(1-0.5*((T$4-$G$4:$AQ$4)=0))*(Hypothèses!$B$71*((T$4-$G$4:$AQ$4)&lt;12)+Hypothèses!$B$72*((T$4-$G$4:$AQ$4)&gt;=12)*((T$4-$G$4:$AQ$4)&lt;Hypothèses!$B$74)+Hypothèses!$B$73*((T$4-$G$4:$AQ$4)&gt;=Hypothèses!$B$74)))</f>
        <v>112666.66666666669</v>
      </c>
      <c r="U58" s="22">
        <f>Hypothèses!$B$45*Hypothèses!$B$47*SUMPRODUCT($G$7:$AQ$7*((U$4-$G$4:$AQ$4)&gt;=0)*(1-0.5*((U$4-$G$4:$AQ$4)=0))*(Hypothèses!$B$71*((U$4-$G$4:$AQ$4)&lt;12)+Hypothèses!$B$72*((U$4-$G$4:$AQ$4)&gt;=12)*((U$4-$G$4:$AQ$4)&lt;Hypothèses!$B$74)+Hypothèses!$B$73*((U$4-$G$4:$AQ$4)&gt;=Hypothèses!$B$74)))</f>
        <v>112666.66666666669</v>
      </c>
      <c r="V58" s="22">
        <f>Hypothèses!$B$45*Hypothèses!$B$47*SUMPRODUCT($G$7:$AQ$7*((V$4-$G$4:$AQ$4)&gt;=0)*(1-0.5*((V$4-$G$4:$AQ$4)=0))*(Hypothèses!$B$71*((V$4-$G$4:$AQ$4)&lt;12)+Hypothèses!$B$72*((V$4-$G$4:$AQ$4)&gt;=12)*((V$4-$G$4:$AQ$4)&lt;Hypothèses!$B$74)+Hypothèses!$B$73*((V$4-$G$4:$AQ$4)&gt;=Hypothèses!$B$74)))</f>
        <v>112666.66666666669</v>
      </c>
      <c r="W58" s="22">
        <f>Hypothèses!$B$45*Hypothèses!$B$47*SUMPRODUCT($G$7:$AQ$7*((W$4-$G$4:$AQ$4)&gt;=0)*(1-0.5*((W$4-$G$4:$AQ$4)=0))*(Hypothèses!$B$71*((W$4-$G$4:$AQ$4)&lt;12)+Hypothèses!$B$72*((W$4-$G$4:$AQ$4)&gt;=12)*((W$4-$G$4:$AQ$4)&lt;Hypothèses!$B$74)+Hypothèses!$B$73*((W$4-$G$4:$AQ$4)&gt;=Hypothèses!$B$74)))</f>
        <v>112666.66666666669</v>
      </c>
      <c r="X58" s="22">
        <f>Hypothèses!$B$45*Hypothèses!$B$47*SUMPRODUCT($G$7:$AQ$7*((X$4-$G$4:$AQ$4)&gt;=0)*(1-0.5*((X$4-$G$4:$AQ$4)=0))*(Hypothèses!$B$71*((X$4-$G$4:$AQ$4)&lt;12)+Hypothèses!$B$72*((X$4-$G$4:$AQ$4)&gt;=12)*((X$4-$G$4:$AQ$4)&lt;Hypothèses!$B$74)+Hypothèses!$B$73*((X$4-$G$4:$AQ$4)&gt;=Hypothèses!$B$74)))</f>
        <v>112666.66666666669</v>
      </c>
      <c r="Y58" s="22">
        <f>Hypothèses!$B$45*Hypothèses!$B$47*SUMPRODUCT($G$7:$AQ$7*((Y$4-$G$4:$AQ$4)&gt;=0)*(1-0.5*((Y$4-$G$4:$AQ$4)=0))*(Hypothèses!$B$71*((Y$4-$G$4:$AQ$4)&lt;12)+Hypothèses!$B$72*((Y$4-$G$4:$AQ$4)&gt;=12)*((Y$4-$G$4:$AQ$4)&lt;Hypothèses!$B$74)+Hypothèses!$B$73*((Y$4-$G$4:$AQ$4)&gt;=Hypothèses!$B$74)))</f>
        <v>112666.66666666669</v>
      </c>
      <c r="Z58" s="22">
        <f>Hypothèses!$B$45*Hypothèses!$B$47*SUMPRODUCT($G$7:$AQ$7*((Z$4-$G$4:$AQ$4)&gt;=0)*(1-0.5*((Z$4-$G$4:$AQ$4)=0))*(Hypothèses!$B$71*((Z$4-$G$4:$AQ$4)&lt;12)+Hypothèses!$B$72*((Z$4-$G$4:$AQ$4)&gt;=12)*((Z$4-$G$4:$AQ$4)&lt;Hypothèses!$B$74)+Hypothèses!$B$73*((Z$4-$G$4:$AQ$4)&gt;=Hypothèses!$B$74)))</f>
        <v>112666.66666666669</v>
      </c>
      <c r="AA58" s="22">
        <f>Hypothèses!$B$45*Hypothèses!$B$47*SUMPRODUCT($G$7:$AQ$7*((AA$4-$G$4:$AQ$4)&gt;=0)*(1-0.5*((AA$4-$G$4:$AQ$4)=0))*(Hypothèses!$B$71*((AA$4-$G$4:$AQ$4)&lt;12)+Hypothèses!$B$72*((AA$4-$G$4:$AQ$4)&gt;=12)*((AA$4-$G$4:$AQ$4)&lt;Hypothèses!$B$74)+Hypothèses!$B$73*((AA$4-$G$4:$AQ$4)&gt;=Hypothèses!$B$74)))</f>
        <v>112666.66666666669</v>
      </c>
      <c r="AB58" s="22">
        <f>Hypothèses!$B$45*Hypothèses!$B$47*SUMPRODUCT($G$7:$AQ$7*((AB$4-$G$4:$AQ$4)&gt;=0)*(1-0.5*((AB$4-$G$4:$AQ$4)=0))*(Hypothèses!$B$71*((AB$4-$G$4:$AQ$4)&lt;12)+Hypothèses!$B$72*((AB$4-$G$4:$AQ$4)&gt;=12)*((AB$4-$G$4:$AQ$4)&lt;Hypothèses!$B$74)+Hypothèses!$B$73*((AB$4-$G$4:$AQ$4)&gt;=Hypothèses!$B$74)))</f>
        <v>112666.66666666669</v>
      </c>
      <c r="AC58" s="22">
        <f>Hypothèses!$B$45*Hypothèses!$B$47*SUMPRODUCT($G$7:$AQ$7*((AC$4-$G$4:$AQ$4)&gt;=0)*(1-0.5*((AC$4-$G$4:$AQ$4)=0))*(Hypothèses!$B$71*((AC$4-$G$4:$AQ$4)&lt;12)+Hypothèses!$B$72*((AC$4-$G$4:$AQ$4)&gt;=12)*((AC$4-$G$4:$AQ$4)&lt;Hypothèses!$B$74)+Hypothèses!$B$73*((AC$4-$G$4:$AQ$4)&gt;=Hypothèses!$B$74)))</f>
        <v>112666.66666666669</v>
      </c>
      <c r="AD58" s="22">
        <f>Hypothèses!$B$45*Hypothèses!$B$47*SUMPRODUCT($G$7:$AQ$7*((AD$4-$G$4:$AQ$4)&gt;=0)*(1-0.5*((AD$4-$G$4:$AQ$4)=0))*(Hypothèses!$B$71*((AD$4-$G$4:$AQ$4)&lt;12)+Hypothèses!$B$72*((AD$4-$G$4:$AQ$4)&gt;=12)*((AD$4-$G$4:$AQ$4)&lt;Hypothèses!$B$74)+Hypothèses!$B$73*((AD$4-$G$4:$AQ$4)&gt;=Hypothèses!$B$74)))</f>
        <v>112666.66666666669</v>
      </c>
      <c r="AE58" s="22">
        <f>Hypothèses!$B$45*Hypothèses!$B$47*SUMPRODUCT($G$7:$AQ$7*((AE$4-$G$4:$AQ$4)&gt;=0)*(1-0.5*((AE$4-$G$4:$AQ$4)=0))*(Hypothèses!$B$71*((AE$4-$G$4:$AQ$4)&lt;12)+Hypothèses!$B$72*((AE$4-$G$4:$AQ$4)&gt;=12)*((AE$4-$G$4:$AQ$4)&lt;Hypothèses!$B$74)+Hypothèses!$B$73*((AE$4-$G$4:$AQ$4)&gt;=Hypothèses!$B$74)))</f>
        <v>112666.66666666669</v>
      </c>
      <c r="AF58" s="22">
        <f>Hypothèses!$B$45*Hypothèses!$B$47*SUMPRODUCT($G$7:$AQ$7*((AF$4-$G$4:$AQ$4)&gt;=0)*(1-0.5*((AF$4-$G$4:$AQ$4)=0))*(Hypothèses!$B$71*((AF$4-$G$4:$AQ$4)&lt;12)+Hypothèses!$B$72*((AF$4-$G$4:$AQ$4)&gt;=12)*((AF$4-$G$4:$AQ$4)&lt;Hypothèses!$B$74)+Hypothèses!$B$73*((AF$4-$G$4:$AQ$4)&gt;=Hypothèses!$B$74)))</f>
        <v>112666.66666666669</v>
      </c>
      <c r="AG58" s="22">
        <f>Hypothèses!$B$45*Hypothèses!$B$47*SUMPRODUCT($G$7:$AQ$7*((AG$4-$G$4:$AQ$4)&gt;=0)*(1-0.5*((AG$4-$G$4:$AQ$4)=0))*(Hypothèses!$B$71*((AG$4-$G$4:$AQ$4)&lt;12)+Hypothèses!$B$72*((AG$4-$G$4:$AQ$4)&gt;=12)*((AG$4-$G$4:$AQ$4)&lt;Hypothèses!$B$74)+Hypothèses!$B$73*((AG$4-$G$4:$AQ$4)&gt;=Hypothèses!$B$74)))</f>
        <v>112666.66666666669</v>
      </c>
      <c r="AH58" s="22">
        <f>Hypothèses!$B$45*Hypothèses!$B$47*SUMPRODUCT($G$7:$AQ$7*((AH$4-$G$4:$AQ$4)&gt;=0)*(1-0.5*((AH$4-$G$4:$AQ$4)=0))*(Hypothèses!$B$71*((AH$4-$G$4:$AQ$4)&lt;12)+Hypothèses!$B$72*((AH$4-$G$4:$AQ$4)&gt;=12)*((AH$4-$G$4:$AQ$4)&lt;Hypothèses!$B$74)+Hypothèses!$B$73*((AH$4-$G$4:$AQ$4)&gt;=Hypothèses!$B$74)))</f>
        <v>112666.66666666669</v>
      </c>
      <c r="AI58" s="22">
        <f>Hypothèses!$B$45*Hypothèses!$B$47*SUMPRODUCT($G$7:$AQ$7*((AI$4-$G$4:$AQ$4)&gt;=0)*(1-0.5*((AI$4-$G$4:$AQ$4)=0))*(Hypothèses!$B$71*((AI$4-$G$4:$AQ$4)&lt;12)+Hypothèses!$B$72*((AI$4-$G$4:$AQ$4)&gt;=12)*((AI$4-$G$4:$AQ$4)&lt;Hypothèses!$B$74)+Hypothèses!$B$73*((AI$4-$G$4:$AQ$4)&gt;=Hypothèses!$B$74)))</f>
        <v>112666.66666666669</v>
      </c>
      <c r="AJ58" s="22">
        <f>Hypothèses!$B$45*Hypothèses!$B$47*SUMPRODUCT($G$7:$AQ$7*((AJ$4-$G$4:$AQ$4)&gt;=0)*(1-0.5*((AJ$4-$G$4:$AQ$4)=0))*(Hypothèses!$B$71*((AJ$4-$G$4:$AQ$4)&lt;12)+Hypothèses!$B$72*((AJ$4-$G$4:$AQ$4)&gt;=12)*((AJ$4-$G$4:$AQ$4)&lt;Hypothèses!$B$74)+Hypothèses!$B$73*((AJ$4-$G$4:$AQ$4)&gt;=Hypothèses!$B$74)))</f>
        <v>112666.66666666669</v>
      </c>
      <c r="AK58" s="22">
        <f>Hypothèses!$B$45*Hypothèses!$B$47*SUMPRODUCT($G$7:$AQ$7*((AK$4-$G$4:$AQ$4)&gt;=0)*(1-0.5*((AK$4-$G$4:$AQ$4)=0))*(Hypothèses!$B$71*((AK$4-$G$4:$AQ$4)&lt;12)+Hypothèses!$B$72*((AK$4-$G$4:$AQ$4)&gt;=12)*((AK$4-$G$4:$AQ$4)&lt;Hypothèses!$B$74)+Hypothèses!$B$73*((AK$4-$G$4:$AQ$4)&gt;=Hypothèses!$B$74)))</f>
        <v>112666.66666666669</v>
      </c>
      <c r="AL58" s="22">
        <f>Hypothèses!$B$45*Hypothèses!$B$47*SUMPRODUCT($G$7:$AQ$7*((AL$4-$G$4:$AQ$4)&gt;=0)*(1-0.5*((AL$4-$G$4:$AQ$4)=0))*(Hypothèses!$B$71*((AL$4-$G$4:$AQ$4)&lt;12)+Hypothèses!$B$72*((AL$4-$G$4:$AQ$4)&gt;=12)*((AL$4-$G$4:$AQ$4)&lt;Hypothèses!$B$74)+Hypothèses!$B$73*((AL$4-$G$4:$AQ$4)&gt;=Hypothèses!$B$74)))</f>
        <v>112666.66666666669</v>
      </c>
      <c r="AM58" s="22">
        <f>Hypothèses!$B$45*Hypothèses!$B$47*SUMPRODUCT($G$7:$AQ$7*((AM$4-$G$4:$AQ$4)&gt;=0)*(1-0.5*((AM$4-$G$4:$AQ$4)=0))*(Hypothèses!$B$71*((AM$4-$G$4:$AQ$4)&lt;12)+Hypothèses!$B$72*((AM$4-$G$4:$AQ$4)&gt;=12)*((AM$4-$G$4:$AQ$4)&lt;Hypothèses!$B$74)+Hypothèses!$B$73*((AM$4-$G$4:$AQ$4)&gt;=Hypothèses!$B$74)))</f>
        <v>112666.66666666669</v>
      </c>
      <c r="AN58" s="22">
        <f>Hypothèses!$B$45*Hypothèses!$B$47*SUMPRODUCT($G$7:$AQ$7*((AN$4-$G$4:$AQ$4)&gt;=0)*(1-0.5*((AN$4-$G$4:$AQ$4)=0))*(Hypothèses!$B$71*((AN$4-$G$4:$AQ$4)&lt;12)+Hypothèses!$B$72*((AN$4-$G$4:$AQ$4)&gt;=12)*((AN$4-$G$4:$AQ$4)&lt;Hypothèses!$B$74)+Hypothèses!$B$73*((AN$4-$G$4:$AQ$4)&gt;=Hypothèses!$B$74)))</f>
        <v>112666.66666666669</v>
      </c>
      <c r="AO58" s="22">
        <f>Hypothèses!$B$45*Hypothèses!$B$47*SUMPRODUCT($G$7:$AQ$7*((AO$4-$G$4:$AQ$4)&gt;=0)*(1-0.5*((AO$4-$G$4:$AQ$4)=0))*(Hypothèses!$B$71*((AO$4-$G$4:$AQ$4)&lt;12)+Hypothèses!$B$72*((AO$4-$G$4:$AQ$4)&gt;=12)*((AO$4-$G$4:$AQ$4)&lt;Hypothèses!$B$74)+Hypothèses!$B$73*((AO$4-$G$4:$AQ$4)&gt;=Hypothèses!$B$74)))</f>
        <v>112666.66666666669</v>
      </c>
      <c r="AP58" s="22">
        <f>Hypothèses!$B$45*Hypothèses!$B$47*SUMPRODUCT($G$7:$AQ$7*((AP$4-$G$4:$AQ$4)&gt;=0)*(1-0.5*((AP$4-$G$4:$AQ$4)=0))*(Hypothèses!$B$71*((AP$4-$G$4:$AQ$4)&lt;12)+Hypothèses!$B$72*((AP$4-$G$4:$AQ$4)&gt;=12)*((AP$4-$G$4:$AQ$4)&lt;Hypothèses!$B$74)+Hypothèses!$B$73*((AP$4-$G$4:$AQ$4)&gt;=Hypothèses!$B$74)))</f>
        <v>112666.66666666669</v>
      </c>
      <c r="AQ58" s="22">
        <f>Hypothèses!$B$45*Hypothèses!$B$47*SUMPRODUCT($G$7:$AQ$7*((AQ$4-$G$4:$AQ$4)&gt;=0)*(1-0.5*((AQ$4-$G$4:$AQ$4)=0))*(Hypothèses!$B$71*((AQ$4-$G$4:$AQ$4)&lt;12)+Hypothèses!$B$72*((AQ$4-$G$4:$AQ$4)&gt;=12)*((AQ$4-$G$4:$AQ$4)&lt;Hypothèses!$B$74)+Hypothèses!$B$73*((AQ$4-$G$4:$AQ$4)&gt;=Hypothèses!$B$74)))</f>
        <v>112666.66666666669</v>
      </c>
    </row>
    <row r="59" spans="1:43" x14ac:dyDescent="0.3">
      <c r="A59" s="6" t="s">
        <v>334</v>
      </c>
      <c r="B59" s="22">
        <f>G59</f>
        <v>0</v>
      </c>
      <c r="C59" s="22">
        <f>SUM(H59:S59)</f>
        <v>3737500</v>
      </c>
      <c r="D59" s="22">
        <f>SUM(T59:AE59)</f>
        <v>1300000</v>
      </c>
      <c r="E59" s="22">
        <f>SUM(AF59:AQ59)</f>
        <v>1300000</v>
      </c>
      <c r="F59" s="22">
        <f>SUM(B59:E59)</f>
        <v>6337500</v>
      </c>
      <c r="G59" s="22">
        <v>0</v>
      </c>
      <c r="H59" s="22">
        <f>SUMPRODUCT($G$8:$AQ$8*((H$4-$G$4:$AQ$4)&gt;=0)*(1-0.5*((H$4-$G$4:$AQ$4)=0))*(MAX(Hypothèses!$B$75,0.6*Hypothèses!$B$46)*Hypothèses!$B$47*((H$4-$G$4:$AQ$4)&lt;Hypothèses!$B$76)+Hypothèses!$B$77*Hypothèses!$B$46*Hypothèses!$B$47*((H$4-$G$4:$AQ$4)&gt;=Hypothèses!$B$76)))</f>
        <v>162500</v>
      </c>
      <c r="I59" s="22">
        <f>SUMPRODUCT($G$8:$AQ$8*((I$4-$G$4:$AQ$4)&gt;=0)*(1-0.5*((I$4-$G$4:$AQ$4)=0))*(MAX(Hypothèses!$B$75,0.6*Hypothèses!$B$46)*Hypothèses!$B$47*((I$4-$G$4:$AQ$4)&lt;Hypothèses!$B$76)+Hypothèses!$B$77*Hypothèses!$B$46*Hypothèses!$B$47*((I$4-$G$4:$AQ$4)&gt;=Hypothèses!$B$76)))</f>
        <v>325000</v>
      </c>
      <c r="J59" s="22">
        <f>SUMPRODUCT($G$8:$AQ$8*((J$4-$G$4:$AQ$4)&gt;=0)*(1-0.5*((J$4-$G$4:$AQ$4)=0))*(MAX(Hypothèses!$B$75,0.6*Hypothèses!$B$46)*Hypothèses!$B$47*((J$4-$G$4:$AQ$4)&lt;Hypothèses!$B$76)+Hypothèses!$B$77*Hypothèses!$B$46*Hypothèses!$B$47*((J$4-$G$4:$AQ$4)&gt;=Hypothèses!$B$76)))</f>
        <v>325000</v>
      </c>
      <c r="K59" s="22">
        <f>SUMPRODUCT($G$8:$AQ$8*((K$4-$G$4:$AQ$4)&gt;=0)*(1-0.5*((K$4-$G$4:$AQ$4)=0))*(MAX(Hypothèses!$B$75,0.6*Hypothèses!$B$46)*Hypothèses!$B$47*((K$4-$G$4:$AQ$4)&lt;Hypothèses!$B$76)+Hypothèses!$B$77*Hypothèses!$B$46*Hypothèses!$B$47*((K$4-$G$4:$AQ$4)&gt;=Hypothèses!$B$76)))</f>
        <v>325000</v>
      </c>
      <c r="L59" s="22">
        <f>SUMPRODUCT($G$8:$AQ$8*((L$4-$G$4:$AQ$4)&gt;=0)*(1-0.5*((L$4-$G$4:$AQ$4)=0))*(MAX(Hypothèses!$B$75,0.6*Hypothèses!$B$46)*Hypothèses!$B$47*((L$4-$G$4:$AQ$4)&lt;Hypothèses!$B$76)+Hypothèses!$B$77*Hypothèses!$B$46*Hypothèses!$B$47*((L$4-$G$4:$AQ$4)&gt;=Hypothèses!$B$76)))</f>
        <v>325000</v>
      </c>
      <c r="M59" s="22">
        <f>SUMPRODUCT($G$8:$AQ$8*((M$4-$G$4:$AQ$4)&gt;=0)*(1-0.5*((M$4-$G$4:$AQ$4)=0))*(MAX(Hypothèses!$B$75,0.6*Hypothèses!$B$46)*Hypothèses!$B$47*((M$4-$G$4:$AQ$4)&lt;Hypothèses!$B$76)+Hypothèses!$B$77*Hypothèses!$B$46*Hypothèses!$B$47*((M$4-$G$4:$AQ$4)&gt;=Hypothèses!$B$76)))</f>
        <v>325000</v>
      </c>
      <c r="N59" s="22">
        <f>SUMPRODUCT($G$8:$AQ$8*((N$4-$G$4:$AQ$4)&gt;=0)*(1-0.5*((N$4-$G$4:$AQ$4)=0))*(MAX(Hypothèses!$B$75,0.6*Hypothèses!$B$46)*Hypothèses!$B$47*((N$4-$G$4:$AQ$4)&lt;Hypothèses!$B$76)+Hypothèses!$B$77*Hypothèses!$B$46*Hypothèses!$B$47*((N$4-$G$4:$AQ$4)&gt;=Hypothèses!$B$76)))</f>
        <v>325000</v>
      </c>
      <c r="O59" s="22">
        <f>SUMPRODUCT($G$8:$AQ$8*((O$4-$G$4:$AQ$4)&gt;=0)*(1-0.5*((O$4-$G$4:$AQ$4)=0))*(MAX(Hypothèses!$B$75,0.6*Hypothèses!$B$46)*Hypothèses!$B$47*((O$4-$G$4:$AQ$4)&lt;Hypothèses!$B$76)+Hypothèses!$B$77*Hypothèses!$B$46*Hypothèses!$B$47*((O$4-$G$4:$AQ$4)&gt;=Hypothèses!$B$76)))</f>
        <v>325000</v>
      </c>
      <c r="P59" s="22">
        <f>SUMPRODUCT($G$8:$AQ$8*((P$4-$G$4:$AQ$4)&gt;=0)*(1-0.5*((P$4-$G$4:$AQ$4)=0))*(MAX(Hypothèses!$B$75,0.6*Hypothèses!$B$46)*Hypothèses!$B$47*((P$4-$G$4:$AQ$4)&lt;Hypothèses!$B$76)+Hypothèses!$B$77*Hypothèses!$B$46*Hypothèses!$B$47*((P$4-$G$4:$AQ$4)&gt;=Hypothèses!$B$76)))</f>
        <v>325000</v>
      </c>
      <c r="Q59" s="22">
        <f>SUMPRODUCT($G$8:$AQ$8*((Q$4-$G$4:$AQ$4)&gt;=0)*(1-0.5*((Q$4-$G$4:$AQ$4)=0))*(MAX(Hypothèses!$B$75,0.6*Hypothèses!$B$46)*Hypothèses!$B$47*((Q$4-$G$4:$AQ$4)&lt;Hypothèses!$B$76)+Hypothèses!$B$77*Hypothèses!$B$46*Hypothèses!$B$47*((Q$4-$G$4:$AQ$4)&gt;=Hypothèses!$B$76)))</f>
        <v>325000</v>
      </c>
      <c r="R59" s="22">
        <f>SUMPRODUCT($G$8:$AQ$8*((R$4-$G$4:$AQ$4)&gt;=0)*(1-0.5*((R$4-$G$4:$AQ$4)=0))*(MAX(Hypothèses!$B$75,0.6*Hypothèses!$B$46)*Hypothèses!$B$47*((R$4-$G$4:$AQ$4)&lt;Hypothèses!$B$76)+Hypothèses!$B$77*Hypothèses!$B$46*Hypothèses!$B$47*((R$4-$G$4:$AQ$4)&gt;=Hypothèses!$B$76)))</f>
        <v>325000</v>
      </c>
      <c r="S59" s="22">
        <f>SUMPRODUCT($G$8:$AQ$8*((S$4-$G$4:$AQ$4)&gt;=0)*(1-0.5*((S$4-$G$4:$AQ$4)=0))*(MAX(Hypothèses!$B$75,0.6*Hypothèses!$B$46)*Hypothèses!$B$47*((S$4-$G$4:$AQ$4)&lt;Hypothèses!$B$76)+Hypothèses!$B$77*Hypothèses!$B$46*Hypothèses!$B$47*((S$4-$G$4:$AQ$4)&gt;=Hypothèses!$B$76)))</f>
        <v>325000</v>
      </c>
      <c r="T59" s="22">
        <f>SUMPRODUCT($G$8:$AQ$8*((T$4-$G$4:$AQ$4)&gt;=0)*(1-0.5*((T$4-$G$4:$AQ$4)=0))*(MAX(Hypothèses!$B$75,0.6*Hypothèses!$B$46)*Hypothèses!$B$47*((T$4-$G$4:$AQ$4)&lt;Hypothèses!$B$76)+Hypothèses!$B$77*Hypothèses!$B$46*Hypothèses!$B$47*((T$4-$G$4:$AQ$4)&gt;=Hypothèses!$B$76)))</f>
        <v>108333.33333333336</v>
      </c>
      <c r="U59" s="22">
        <f>SUMPRODUCT($G$8:$AQ$8*((U$4-$G$4:$AQ$4)&gt;=0)*(1-0.5*((U$4-$G$4:$AQ$4)=0))*(MAX(Hypothèses!$B$75,0.6*Hypothèses!$B$46)*Hypothèses!$B$47*((U$4-$G$4:$AQ$4)&lt;Hypothèses!$B$76)+Hypothèses!$B$77*Hypothèses!$B$46*Hypothèses!$B$47*((U$4-$G$4:$AQ$4)&gt;=Hypothèses!$B$76)))</f>
        <v>108333.33333333336</v>
      </c>
      <c r="V59" s="22">
        <f>SUMPRODUCT($G$8:$AQ$8*((V$4-$G$4:$AQ$4)&gt;=0)*(1-0.5*((V$4-$G$4:$AQ$4)=0))*(MAX(Hypothèses!$B$75,0.6*Hypothèses!$B$46)*Hypothèses!$B$47*((V$4-$G$4:$AQ$4)&lt;Hypothèses!$B$76)+Hypothèses!$B$77*Hypothèses!$B$46*Hypothèses!$B$47*((V$4-$G$4:$AQ$4)&gt;=Hypothèses!$B$76)))</f>
        <v>108333.33333333336</v>
      </c>
      <c r="W59" s="22">
        <f>SUMPRODUCT($G$8:$AQ$8*((W$4-$G$4:$AQ$4)&gt;=0)*(1-0.5*((W$4-$G$4:$AQ$4)=0))*(MAX(Hypothèses!$B$75,0.6*Hypothèses!$B$46)*Hypothèses!$B$47*((W$4-$G$4:$AQ$4)&lt;Hypothèses!$B$76)+Hypothèses!$B$77*Hypothèses!$B$46*Hypothèses!$B$47*((W$4-$G$4:$AQ$4)&gt;=Hypothèses!$B$76)))</f>
        <v>108333.33333333336</v>
      </c>
      <c r="X59" s="22">
        <f>SUMPRODUCT($G$8:$AQ$8*((X$4-$G$4:$AQ$4)&gt;=0)*(1-0.5*((X$4-$G$4:$AQ$4)=0))*(MAX(Hypothèses!$B$75,0.6*Hypothèses!$B$46)*Hypothèses!$B$47*((X$4-$G$4:$AQ$4)&lt;Hypothèses!$B$76)+Hypothèses!$B$77*Hypothèses!$B$46*Hypothèses!$B$47*((X$4-$G$4:$AQ$4)&gt;=Hypothèses!$B$76)))</f>
        <v>108333.33333333336</v>
      </c>
      <c r="Y59" s="22">
        <f>SUMPRODUCT($G$8:$AQ$8*((Y$4-$G$4:$AQ$4)&gt;=0)*(1-0.5*((Y$4-$G$4:$AQ$4)=0))*(MAX(Hypothèses!$B$75,0.6*Hypothèses!$B$46)*Hypothèses!$B$47*((Y$4-$G$4:$AQ$4)&lt;Hypothèses!$B$76)+Hypothèses!$B$77*Hypothèses!$B$46*Hypothèses!$B$47*((Y$4-$G$4:$AQ$4)&gt;=Hypothèses!$B$76)))</f>
        <v>108333.33333333336</v>
      </c>
      <c r="Z59" s="22">
        <f>SUMPRODUCT($G$8:$AQ$8*((Z$4-$G$4:$AQ$4)&gt;=0)*(1-0.5*((Z$4-$G$4:$AQ$4)=0))*(MAX(Hypothèses!$B$75,0.6*Hypothèses!$B$46)*Hypothèses!$B$47*((Z$4-$G$4:$AQ$4)&lt;Hypothèses!$B$76)+Hypothèses!$B$77*Hypothèses!$B$46*Hypothèses!$B$47*((Z$4-$G$4:$AQ$4)&gt;=Hypothèses!$B$76)))</f>
        <v>108333.33333333336</v>
      </c>
      <c r="AA59" s="22">
        <f>SUMPRODUCT($G$8:$AQ$8*((AA$4-$G$4:$AQ$4)&gt;=0)*(1-0.5*((AA$4-$G$4:$AQ$4)=0))*(MAX(Hypothèses!$B$75,0.6*Hypothèses!$B$46)*Hypothèses!$B$47*((AA$4-$G$4:$AQ$4)&lt;Hypothèses!$B$76)+Hypothèses!$B$77*Hypothèses!$B$46*Hypothèses!$B$47*((AA$4-$G$4:$AQ$4)&gt;=Hypothèses!$B$76)))</f>
        <v>108333.33333333336</v>
      </c>
      <c r="AB59" s="22">
        <f>SUMPRODUCT($G$8:$AQ$8*((AB$4-$G$4:$AQ$4)&gt;=0)*(1-0.5*((AB$4-$G$4:$AQ$4)=0))*(MAX(Hypothèses!$B$75,0.6*Hypothèses!$B$46)*Hypothèses!$B$47*((AB$4-$G$4:$AQ$4)&lt;Hypothèses!$B$76)+Hypothèses!$B$77*Hypothèses!$B$46*Hypothèses!$B$47*((AB$4-$G$4:$AQ$4)&gt;=Hypothèses!$B$76)))</f>
        <v>108333.33333333336</v>
      </c>
      <c r="AC59" s="22">
        <f>SUMPRODUCT($G$8:$AQ$8*((AC$4-$G$4:$AQ$4)&gt;=0)*(1-0.5*((AC$4-$G$4:$AQ$4)=0))*(MAX(Hypothèses!$B$75,0.6*Hypothèses!$B$46)*Hypothèses!$B$47*((AC$4-$G$4:$AQ$4)&lt;Hypothèses!$B$76)+Hypothèses!$B$77*Hypothèses!$B$46*Hypothèses!$B$47*((AC$4-$G$4:$AQ$4)&gt;=Hypothèses!$B$76)))</f>
        <v>108333.33333333336</v>
      </c>
      <c r="AD59" s="22">
        <f>SUMPRODUCT($G$8:$AQ$8*((AD$4-$G$4:$AQ$4)&gt;=0)*(1-0.5*((AD$4-$G$4:$AQ$4)=0))*(MAX(Hypothèses!$B$75,0.6*Hypothèses!$B$46)*Hypothèses!$B$47*((AD$4-$G$4:$AQ$4)&lt;Hypothèses!$B$76)+Hypothèses!$B$77*Hypothèses!$B$46*Hypothèses!$B$47*((AD$4-$G$4:$AQ$4)&gt;=Hypothèses!$B$76)))</f>
        <v>108333.33333333336</v>
      </c>
      <c r="AE59" s="22">
        <f>SUMPRODUCT($G$8:$AQ$8*((AE$4-$G$4:$AQ$4)&gt;=0)*(1-0.5*((AE$4-$G$4:$AQ$4)=0))*(MAX(Hypothèses!$B$75,0.6*Hypothèses!$B$46)*Hypothèses!$B$47*((AE$4-$G$4:$AQ$4)&lt;Hypothèses!$B$76)+Hypothèses!$B$77*Hypothèses!$B$46*Hypothèses!$B$47*((AE$4-$G$4:$AQ$4)&gt;=Hypothèses!$B$76)))</f>
        <v>108333.33333333336</v>
      </c>
      <c r="AF59" s="22">
        <f>SUMPRODUCT($G$8:$AQ$8*((AF$4-$G$4:$AQ$4)&gt;=0)*(1-0.5*((AF$4-$G$4:$AQ$4)=0))*(MAX(Hypothèses!$B$75,0.6*Hypothèses!$B$46)*Hypothèses!$B$47*((AF$4-$G$4:$AQ$4)&lt;Hypothèses!$B$76)+Hypothèses!$B$77*Hypothèses!$B$46*Hypothèses!$B$47*((AF$4-$G$4:$AQ$4)&gt;=Hypothèses!$B$76)))</f>
        <v>108333.33333333336</v>
      </c>
      <c r="AG59" s="22">
        <f>SUMPRODUCT($G$8:$AQ$8*((AG$4-$G$4:$AQ$4)&gt;=0)*(1-0.5*((AG$4-$G$4:$AQ$4)=0))*(MAX(Hypothèses!$B$75,0.6*Hypothèses!$B$46)*Hypothèses!$B$47*((AG$4-$G$4:$AQ$4)&lt;Hypothèses!$B$76)+Hypothèses!$B$77*Hypothèses!$B$46*Hypothèses!$B$47*((AG$4-$G$4:$AQ$4)&gt;=Hypothèses!$B$76)))</f>
        <v>108333.33333333336</v>
      </c>
      <c r="AH59" s="22">
        <f>SUMPRODUCT($G$8:$AQ$8*((AH$4-$G$4:$AQ$4)&gt;=0)*(1-0.5*((AH$4-$G$4:$AQ$4)=0))*(MAX(Hypothèses!$B$75,0.6*Hypothèses!$B$46)*Hypothèses!$B$47*((AH$4-$G$4:$AQ$4)&lt;Hypothèses!$B$76)+Hypothèses!$B$77*Hypothèses!$B$46*Hypothèses!$B$47*((AH$4-$G$4:$AQ$4)&gt;=Hypothèses!$B$76)))</f>
        <v>108333.33333333336</v>
      </c>
      <c r="AI59" s="22">
        <f>SUMPRODUCT($G$8:$AQ$8*((AI$4-$G$4:$AQ$4)&gt;=0)*(1-0.5*((AI$4-$G$4:$AQ$4)=0))*(MAX(Hypothèses!$B$75,0.6*Hypothèses!$B$46)*Hypothèses!$B$47*((AI$4-$G$4:$AQ$4)&lt;Hypothèses!$B$76)+Hypothèses!$B$77*Hypothèses!$B$46*Hypothèses!$B$47*((AI$4-$G$4:$AQ$4)&gt;=Hypothèses!$B$76)))</f>
        <v>108333.33333333336</v>
      </c>
      <c r="AJ59" s="22">
        <f>SUMPRODUCT($G$8:$AQ$8*((AJ$4-$G$4:$AQ$4)&gt;=0)*(1-0.5*((AJ$4-$G$4:$AQ$4)=0))*(MAX(Hypothèses!$B$75,0.6*Hypothèses!$B$46)*Hypothèses!$B$47*((AJ$4-$G$4:$AQ$4)&lt;Hypothèses!$B$76)+Hypothèses!$B$77*Hypothèses!$B$46*Hypothèses!$B$47*((AJ$4-$G$4:$AQ$4)&gt;=Hypothèses!$B$76)))</f>
        <v>108333.33333333336</v>
      </c>
      <c r="AK59" s="22">
        <f>SUMPRODUCT($G$8:$AQ$8*((AK$4-$G$4:$AQ$4)&gt;=0)*(1-0.5*((AK$4-$G$4:$AQ$4)=0))*(MAX(Hypothèses!$B$75,0.6*Hypothèses!$B$46)*Hypothèses!$B$47*((AK$4-$G$4:$AQ$4)&lt;Hypothèses!$B$76)+Hypothèses!$B$77*Hypothèses!$B$46*Hypothèses!$B$47*((AK$4-$G$4:$AQ$4)&gt;=Hypothèses!$B$76)))</f>
        <v>108333.33333333336</v>
      </c>
      <c r="AL59" s="22">
        <f>SUMPRODUCT($G$8:$AQ$8*((AL$4-$G$4:$AQ$4)&gt;=0)*(1-0.5*((AL$4-$G$4:$AQ$4)=0))*(MAX(Hypothèses!$B$75,0.6*Hypothèses!$B$46)*Hypothèses!$B$47*((AL$4-$G$4:$AQ$4)&lt;Hypothèses!$B$76)+Hypothèses!$B$77*Hypothèses!$B$46*Hypothèses!$B$47*((AL$4-$G$4:$AQ$4)&gt;=Hypothèses!$B$76)))</f>
        <v>108333.33333333336</v>
      </c>
      <c r="AM59" s="22">
        <f>SUMPRODUCT($G$8:$AQ$8*((AM$4-$G$4:$AQ$4)&gt;=0)*(1-0.5*((AM$4-$G$4:$AQ$4)=0))*(MAX(Hypothèses!$B$75,0.6*Hypothèses!$B$46)*Hypothèses!$B$47*((AM$4-$G$4:$AQ$4)&lt;Hypothèses!$B$76)+Hypothèses!$B$77*Hypothèses!$B$46*Hypothèses!$B$47*((AM$4-$G$4:$AQ$4)&gt;=Hypothèses!$B$76)))</f>
        <v>108333.33333333336</v>
      </c>
      <c r="AN59" s="22">
        <f>SUMPRODUCT($G$8:$AQ$8*((AN$4-$G$4:$AQ$4)&gt;=0)*(1-0.5*((AN$4-$G$4:$AQ$4)=0))*(MAX(Hypothèses!$B$75,0.6*Hypothèses!$B$46)*Hypothèses!$B$47*((AN$4-$G$4:$AQ$4)&lt;Hypothèses!$B$76)+Hypothèses!$B$77*Hypothèses!$B$46*Hypothèses!$B$47*((AN$4-$G$4:$AQ$4)&gt;=Hypothèses!$B$76)))</f>
        <v>108333.33333333336</v>
      </c>
      <c r="AO59" s="22">
        <f>SUMPRODUCT($G$8:$AQ$8*((AO$4-$G$4:$AQ$4)&gt;=0)*(1-0.5*((AO$4-$G$4:$AQ$4)=0))*(MAX(Hypothèses!$B$75,0.6*Hypothèses!$B$46)*Hypothèses!$B$47*((AO$4-$G$4:$AQ$4)&lt;Hypothèses!$B$76)+Hypothèses!$B$77*Hypothèses!$B$46*Hypothèses!$B$47*((AO$4-$G$4:$AQ$4)&gt;=Hypothèses!$B$76)))</f>
        <v>108333.33333333336</v>
      </c>
      <c r="AP59" s="22">
        <f>SUMPRODUCT($G$8:$AQ$8*((AP$4-$G$4:$AQ$4)&gt;=0)*(1-0.5*((AP$4-$G$4:$AQ$4)=0))*(MAX(Hypothèses!$B$75,0.6*Hypothèses!$B$46)*Hypothèses!$B$47*((AP$4-$G$4:$AQ$4)&lt;Hypothèses!$B$76)+Hypothèses!$B$77*Hypothèses!$B$46*Hypothèses!$B$47*((AP$4-$G$4:$AQ$4)&gt;=Hypothèses!$B$76)))</f>
        <v>108333.33333333336</v>
      </c>
      <c r="AQ59" s="22">
        <f>SUMPRODUCT($G$8:$AQ$8*((AQ$4-$G$4:$AQ$4)&gt;=0)*(1-0.5*((AQ$4-$G$4:$AQ$4)=0))*(MAX(Hypothèses!$B$75,0.6*Hypothèses!$B$46)*Hypothèses!$B$47*((AQ$4-$G$4:$AQ$4)&lt;Hypothèses!$B$76)+Hypothèses!$B$77*Hypothèses!$B$46*Hypothèses!$B$47*((AQ$4-$G$4:$AQ$4)&gt;=Hypothèses!$B$76)))</f>
        <v>108333.33333333336</v>
      </c>
    </row>
    <row r="60" spans="1:43" x14ac:dyDescent="0.3">
      <c r="A60" s="6" t="s">
        <v>335</v>
      </c>
      <c r="B60" s="22">
        <f>G60</f>
        <v>0</v>
      </c>
      <c r="C60" s="22">
        <f>SUM(H60:S60)</f>
        <v>4951440</v>
      </c>
      <c r="D60" s="22">
        <f>SUM(T60:AE60)</f>
        <v>4942080</v>
      </c>
      <c r="E60" s="22">
        <f>SUM(AF60:AQ60)</f>
        <v>4492800</v>
      </c>
      <c r="F60" s="22">
        <f>SUM(B60:E60)</f>
        <v>14386320</v>
      </c>
      <c r="G60" s="22">
        <v>0</v>
      </c>
      <c r="H60" s="22">
        <f>IF(H$4&lt;Hypothèses!$B$59,0,Hypothèses!$B$57*Hypothèses!$B$60*Hypothèses!$B$47*IF(H$4=Hypothèses!$B$59,0.5,1)*IF(H$4-Hypothèses!$B$59&lt;12,Hypothèses!$B$62,IF(H$4-Hypothèses!$B$59&lt;Hypothèses!$B$65,Hypothèses!$B$63,Hypothèses!$B$64)))</f>
        <v>215280</v>
      </c>
      <c r="I60" s="22">
        <f>IF(I$4&lt;Hypothèses!$B$59,0,Hypothèses!$B$57*Hypothèses!$B$60*Hypothèses!$B$47*IF(I$4=Hypothèses!$B$59,0.5,1)*IF(I$4-Hypothèses!$B$59&lt;12,Hypothèses!$B$62,IF(I$4-Hypothèses!$B$59&lt;Hypothèses!$B$65,Hypothèses!$B$63,Hypothèses!$B$64)))</f>
        <v>430560</v>
      </c>
      <c r="J60" s="22">
        <f>IF(J$4&lt;Hypothèses!$B$59,0,Hypothèses!$B$57*Hypothèses!$B$60*Hypothèses!$B$47*IF(J$4=Hypothèses!$B$59,0.5,1)*IF(J$4-Hypothèses!$B$59&lt;12,Hypothèses!$B$62,IF(J$4-Hypothèses!$B$59&lt;Hypothèses!$B$65,Hypothèses!$B$63,Hypothèses!$B$64)))</f>
        <v>430560</v>
      </c>
      <c r="K60" s="22">
        <f>IF(K$4&lt;Hypothèses!$B$59,0,Hypothèses!$B$57*Hypothèses!$B$60*Hypothèses!$B$47*IF(K$4=Hypothèses!$B$59,0.5,1)*IF(K$4-Hypothèses!$B$59&lt;12,Hypothèses!$B$62,IF(K$4-Hypothèses!$B$59&lt;Hypothèses!$B$65,Hypothèses!$B$63,Hypothèses!$B$64)))</f>
        <v>430560</v>
      </c>
      <c r="L60" s="22">
        <f>IF(L$4&lt;Hypothèses!$B$59,0,Hypothèses!$B$57*Hypothèses!$B$60*Hypothèses!$B$47*IF(L$4=Hypothèses!$B$59,0.5,1)*IF(L$4-Hypothèses!$B$59&lt;12,Hypothèses!$B$62,IF(L$4-Hypothèses!$B$59&lt;Hypothèses!$B$65,Hypothèses!$B$63,Hypothèses!$B$64)))</f>
        <v>430560</v>
      </c>
      <c r="M60" s="22">
        <f>IF(M$4&lt;Hypothèses!$B$59,0,Hypothèses!$B$57*Hypothèses!$B$60*Hypothèses!$B$47*IF(M$4=Hypothèses!$B$59,0.5,1)*IF(M$4-Hypothèses!$B$59&lt;12,Hypothèses!$B$62,IF(M$4-Hypothèses!$B$59&lt;Hypothèses!$B$65,Hypothèses!$B$63,Hypothèses!$B$64)))</f>
        <v>430560</v>
      </c>
      <c r="N60" s="22">
        <f>IF(N$4&lt;Hypothèses!$B$59,0,Hypothèses!$B$57*Hypothèses!$B$60*Hypothèses!$B$47*IF(N$4=Hypothèses!$B$59,0.5,1)*IF(N$4-Hypothèses!$B$59&lt;12,Hypothèses!$B$62,IF(N$4-Hypothèses!$B$59&lt;Hypothèses!$B$65,Hypothèses!$B$63,Hypothèses!$B$64)))</f>
        <v>430560</v>
      </c>
      <c r="O60" s="22">
        <f>IF(O$4&lt;Hypothèses!$B$59,0,Hypothèses!$B$57*Hypothèses!$B$60*Hypothèses!$B$47*IF(O$4=Hypothèses!$B$59,0.5,1)*IF(O$4-Hypothèses!$B$59&lt;12,Hypothèses!$B$62,IF(O$4-Hypothèses!$B$59&lt;Hypothèses!$B$65,Hypothèses!$B$63,Hypothèses!$B$64)))</f>
        <v>430560</v>
      </c>
      <c r="P60" s="22">
        <f>IF(P$4&lt;Hypothèses!$B$59,0,Hypothèses!$B$57*Hypothèses!$B$60*Hypothèses!$B$47*IF(P$4=Hypothèses!$B$59,0.5,1)*IF(P$4-Hypothèses!$B$59&lt;12,Hypothèses!$B$62,IF(P$4-Hypothèses!$B$59&lt;Hypothèses!$B$65,Hypothèses!$B$63,Hypothèses!$B$64)))</f>
        <v>430560</v>
      </c>
      <c r="Q60" s="22">
        <f>IF(Q$4&lt;Hypothèses!$B$59,0,Hypothèses!$B$57*Hypothèses!$B$60*Hypothèses!$B$47*IF(Q$4=Hypothèses!$B$59,0.5,1)*IF(Q$4-Hypothèses!$B$59&lt;12,Hypothèses!$B$62,IF(Q$4-Hypothèses!$B$59&lt;Hypothèses!$B$65,Hypothèses!$B$63,Hypothèses!$B$64)))</f>
        <v>430560</v>
      </c>
      <c r="R60" s="22">
        <f>IF(R$4&lt;Hypothèses!$B$59,0,Hypothèses!$B$57*Hypothèses!$B$60*Hypothèses!$B$47*IF(R$4=Hypothèses!$B$59,0.5,1)*IF(R$4-Hypothèses!$B$59&lt;12,Hypothèses!$B$62,IF(R$4-Hypothèses!$B$59&lt;Hypothèses!$B$65,Hypothèses!$B$63,Hypothèses!$B$64)))</f>
        <v>430560</v>
      </c>
      <c r="S60" s="22">
        <f>IF(S$4&lt;Hypothèses!$B$59,0,Hypothèses!$B$57*Hypothèses!$B$60*Hypothèses!$B$47*IF(S$4=Hypothèses!$B$59,0.5,1)*IF(S$4-Hypothèses!$B$59&lt;12,Hypothèses!$B$62,IF(S$4-Hypothèses!$B$59&lt;Hypothèses!$B$65,Hypothèses!$B$63,Hypothèses!$B$64)))</f>
        <v>430560</v>
      </c>
      <c r="T60" s="22">
        <f>IF(T$4&lt;Hypothèses!$B$59,0,Hypothèses!$B$57*Hypothèses!$B$60*Hypothèses!$B$47*IF(T$4=Hypothèses!$B$59,0.5,1)*IF(T$4-Hypothèses!$B$59&lt;12,Hypothèses!$B$62,IF(T$4-Hypothèses!$B$59&lt;Hypothèses!$B$65,Hypothèses!$B$63,Hypothèses!$B$64)))</f>
        <v>411840</v>
      </c>
      <c r="U60" s="22">
        <f>IF(U$4&lt;Hypothèses!$B$59,0,Hypothèses!$B$57*Hypothèses!$B$60*Hypothèses!$B$47*IF(U$4=Hypothèses!$B$59,0.5,1)*IF(U$4-Hypothèses!$B$59&lt;12,Hypothèses!$B$62,IF(U$4-Hypothèses!$B$59&lt;Hypothèses!$B$65,Hypothèses!$B$63,Hypothèses!$B$64)))</f>
        <v>411840</v>
      </c>
      <c r="V60" s="22">
        <f>IF(V$4&lt;Hypothèses!$B$59,0,Hypothèses!$B$57*Hypothèses!$B$60*Hypothèses!$B$47*IF(V$4=Hypothèses!$B$59,0.5,1)*IF(V$4-Hypothèses!$B$59&lt;12,Hypothèses!$B$62,IF(V$4-Hypothèses!$B$59&lt;Hypothèses!$B$65,Hypothèses!$B$63,Hypothèses!$B$64)))</f>
        <v>411840</v>
      </c>
      <c r="W60" s="22">
        <f>IF(W$4&lt;Hypothèses!$B$59,0,Hypothèses!$B$57*Hypothèses!$B$60*Hypothèses!$B$47*IF(W$4=Hypothèses!$B$59,0.5,1)*IF(W$4-Hypothèses!$B$59&lt;12,Hypothèses!$B$62,IF(W$4-Hypothèses!$B$59&lt;Hypothèses!$B$65,Hypothèses!$B$63,Hypothèses!$B$64)))</f>
        <v>411840</v>
      </c>
      <c r="X60" s="22">
        <f>IF(X$4&lt;Hypothèses!$B$59,0,Hypothèses!$B$57*Hypothèses!$B$60*Hypothèses!$B$47*IF(X$4=Hypothèses!$B$59,0.5,1)*IF(X$4-Hypothèses!$B$59&lt;12,Hypothèses!$B$62,IF(X$4-Hypothèses!$B$59&lt;Hypothèses!$B$65,Hypothèses!$B$63,Hypothèses!$B$64)))</f>
        <v>411840</v>
      </c>
      <c r="Y60" s="22">
        <f>IF(Y$4&lt;Hypothèses!$B$59,0,Hypothèses!$B$57*Hypothèses!$B$60*Hypothèses!$B$47*IF(Y$4=Hypothèses!$B$59,0.5,1)*IF(Y$4-Hypothèses!$B$59&lt;12,Hypothèses!$B$62,IF(Y$4-Hypothèses!$B$59&lt;Hypothèses!$B$65,Hypothèses!$B$63,Hypothèses!$B$64)))</f>
        <v>411840</v>
      </c>
      <c r="Z60" s="22">
        <f>IF(Z$4&lt;Hypothèses!$B$59,0,Hypothèses!$B$57*Hypothèses!$B$60*Hypothèses!$B$47*IF(Z$4=Hypothèses!$B$59,0.5,1)*IF(Z$4-Hypothèses!$B$59&lt;12,Hypothèses!$B$62,IF(Z$4-Hypothèses!$B$59&lt;Hypothèses!$B$65,Hypothèses!$B$63,Hypothèses!$B$64)))</f>
        <v>411840</v>
      </c>
      <c r="AA60" s="22">
        <f>IF(AA$4&lt;Hypothèses!$B$59,0,Hypothèses!$B$57*Hypothèses!$B$60*Hypothèses!$B$47*IF(AA$4=Hypothèses!$B$59,0.5,1)*IF(AA$4-Hypothèses!$B$59&lt;12,Hypothèses!$B$62,IF(AA$4-Hypothèses!$B$59&lt;Hypothèses!$B$65,Hypothèses!$B$63,Hypothèses!$B$64)))</f>
        <v>411840</v>
      </c>
      <c r="AB60" s="22">
        <f>IF(AB$4&lt;Hypothèses!$B$59,0,Hypothèses!$B$57*Hypothèses!$B$60*Hypothèses!$B$47*IF(AB$4=Hypothèses!$B$59,0.5,1)*IF(AB$4-Hypothèses!$B$59&lt;12,Hypothèses!$B$62,IF(AB$4-Hypothèses!$B$59&lt;Hypothèses!$B$65,Hypothèses!$B$63,Hypothèses!$B$64)))</f>
        <v>411840</v>
      </c>
      <c r="AC60" s="22">
        <f>IF(AC$4&lt;Hypothèses!$B$59,0,Hypothèses!$B$57*Hypothèses!$B$60*Hypothèses!$B$47*IF(AC$4=Hypothèses!$B$59,0.5,1)*IF(AC$4-Hypothèses!$B$59&lt;12,Hypothèses!$B$62,IF(AC$4-Hypothèses!$B$59&lt;Hypothèses!$B$65,Hypothèses!$B$63,Hypothèses!$B$64)))</f>
        <v>411840</v>
      </c>
      <c r="AD60" s="22">
        <f>IF(AD$4&lt;Hypothèses!$B$59,0,Hypothèses!$B$57*Hypothèses!$B$60*Hypothèses!$B$47*IF(AD$4=Hypothèses!$B$59,0.5,1)*IF(AD$4-Hypothèses!$B$59&lt;12,Hypothèses!$B$62,IF(AD$4-Hypothèses!$B$59&lt;Hypothèses!$B$65,Hypothèses!$B$63,Hypothèses!$B$64)))</f>
        <v>411840</v>
      </c>
      <c r="AE60" s="22">
        <f>IF(AE$4&lt;Hypothèses!$B$59,0,Hypothèses!$B$57*Hypothèses!$B$60*Hypothèses!$B$47*IF(AE$4=Hypothèses!$B$59,0.5,1)*IF(AE$4-Hypothèses!$B$59&lt;12,Hypothèses!$B$62,IF(AE$4-Hypothèses!$B$59&lt;Hypothèses!$B$65,Hypothèses!$B$63,Hypothèses!$B$64)))</f>
        <v>411840</v>
      </c>
      <c r="AF60" s="22">
        <f>IF(AF$4&lt;Hypothèses!$B$59,0,Hypothèses!$B$57*Hypothèses!$B$60*Hypothèses!$B$47*IF(AF$4=Hypothèses!$B$59,0.5,1)*IF(AF$4-Hypothèses!$B$59&lt;12,Hypothèses!$B$62,IF(AF$4-Hypothèses!$B$59&lt;Hypothèses!$B$65,Hypothèses!$B$63,Hypothèses!$B$64)))</f>
        <v>374400</v>
      </c>
      <c r="AG60" s="22">
        <f>IF(AG$4&lt;Hypothèses!$B$59,0,Hypothèses!$B$57*Hypothèses!$B$60*Hypothèses!$B$47*IF(AG$4=Hypothèses!$B$59,0.5,1)*IF(AG$4-Hypothèses!$B$59&lt;12,Hypothèses!$B$62,IF(AG$4-Hypothèses!$B$59&lt;Hypothèses!$B$65,Hypothèses!$B$63,Hypothèses!$B$64)))</f>
        <v>374400</v>
      </c>
      <c r="AH60" s="22">
        <f>IF(AH$4&lt;Hypothèses!$B$59,0,Hypothèses!$B$57*Hypothèses!$B$60*Hypothèses!$B$47*IF(AH$4=Hypothèses!$B$59,0.5,1)*IF(AH$4-Hypothèses!$B$59&lt;12,Hypothèses!$B$62,IF(AH$4-Hypothèses!$B$59&lt;Hypothèses!$B$65,Hypothèses!$B$63,Hypothèses!$B$64)))</f>
        <v>374400</v>
      </c>
      <c r="AI60" s="22">
        <f>IF(AI$4&lt;Hypothèses!$B$59,0,Hypothèses!$B$57*Hypothèses!$B$60*Hypothèses!$B$47*IF(AI$4=Hypothèses!$B$59,0.5,1)*IF(AI$4-Hypothèses!$B$59&lt;12,Hypothèses!$B$62,IF(AI$4-Hypothèses!$B$59&lt;Hypothèses!$B$65,Hypothèses!$B$63,Hypothèses!$B$64)))</f>
        <v>374400</v>
      </c>
      <c r="AJ60" s="22">
        <f>IF(AJ$4&lt;Hypothèses!$B$59,0,Hypothèses!$B$57*Hypothèses!$B$60*Hypothèses!$B$47*IF(AJ$4=Hypothèses!$B$59,0.5,1)*IF(AJ$4-Hypothèses!$B$59&lt;12,Hypothèses!$B$62,IF(AJ$4-Hypothèses!$B$59&lt;Hypothèses!$B$65,Hypothèses!$B$63,Hypothèses!$B$64)))</f>
        <v>374400</v>
      </c>
      <c r="AK60" s="22">
        <f>IF(AK$4&lt;Hypothèses!$B$59,0,Hypothèses!$B$57*Hypothèses!$B$60*Hypothèses!$B$47*IF(AK$4=Hypothèses!$B$59,0.5,1)*IF(AK$4-Hypothèses!$B$59&lt;12,Hypothèses!$B$62,IF(AK$4-Hypothèses!$B$59&lt;Hypothèses!$B$65,Hypothèses!$B$63,Hypothèses!$B$64)))</f>
        <v>374400</v>
      </c>
      <c r="AL60" s="22">
        <f>IF(AL$4&lt;Hypothèses!$B$59,0,Hypothèses!$B$57*Hypothèses!$B$60*Hypothèses!$B$47*IF(AL$4=Hypothèses!$B$59,0.5,1)*IF(AL$4-Hypothèses!$B$59&lt;12,Hypothèses!$B$62,IF(AL$4-Hypothèses!$B$59&lt;Hypothèses!$B$65,Hypothèses!$B$63,Hypothèses!$B$64)))</f>
        <v>374400</v>
      </c>
      <c r="AM60" s="22">
        <f>IF(AM$4&lt;Hypothèses!$B$59,0,Hypothèses!$B$57*Hypothèses!$B$60*Hypothèses!$B$47*IF(AM$4=Hypothèses!$B$59,0.5,1)*IF(AM$4-Hypothèses!$B$59&lt;12,Hypothèses!$B$62,IF(AM$4-Hypothèses!$B$59&lt;Hypothèses!$B$65,Hypothèses!$B$63,Hypothèses!$B$64)))</f>
        <v>374400</v>
      </c>
      <c r="AN60" s="22">
        <f>IF(AN$4&lt;Hypothèses!$B$59,0,Hypothèses!$B$57*Hypothèses!$B$60*Hypothèses!$B$47*IF(AN$4=Hypothèses!$B$59,0.5,1)*IF(AN$4-Hypothèses!$B$59&lt;12,Hypothèses!$B$62,IF(AN$4-Hypothèses!$B$59&lt;Hypothèses!$B$65,Hypothèses!$B$63,Hypothèses!$B$64)))</f>
        <v>374400</v>
      </c>
      <c r="AO60" s="22">
        <f>IF(AO$4&lt;Hypothèses!$B$59,0,Hypothèses!$B$57*Hypothèses!$B$60*Hypothèses!$B$47*IF(AO$4=Hypothèses!$B$59,0.5,1)*IF(AO$4-Hypothèses!$B$59&lt;12,Hypothèses!$B$62,IF(AO$4-Hypothèses!$B$59&lt;Hypothèses!$B$65,Hypothèses!$B$63,Hypothèses!$B$64)))</f>
        <v>374400</v>
      </c>
      <c r="AP60" s="22">
        <f>IF(AP$4&lt;Hypothèses!$B$59,0,Hypothèses!$B$57*Hypothèses!$B$60*Hypothèses!$B$47*IF(AP$4=Hypothèses!$B$59,0.5,1)*IF(AP$4-Hypothèses!$B$59&lt;12,Hypothèses!$B$62,IF(AP$4-Hypothèses!$B$59&lt;Hypothèses!$B$65,Hypothèses!$B$63,Hypothèses!$B$64)))</f>
        <v>374400</v>
      </c>
      <c r="AQ60" s="22">
        <f>IF(AQ$4&lt;Hypothèses!$B$59,0,Hypothèses!$B$57*Hypothèses!$B$60*Hypothèses!$B$47*IF(AQ$4=Hypothèses!$B$59,0.5,1)*IF(AQ$4-Hypothèses!$B$59&lt;12,Hypothèses!$B$62,IF(AQ$4-Hypothèses!$B$59&lt;Hypothèses!$B$65,Hypothèses!$B$63,Hypothèses!$B$64)))</f>
        <v>374400</v>
      </c>
    </row>
    <row r="61" spans="1:43" x14ac:dyDescent="0.3">
      <c r="A61" s="6" t="s">
        <v>336</v>
      </c>
      <c r="B61" s="22">
        <f>G61</f>
        <v>0</v>
      </c>
      <c r="C61" s="22">
        <f>SUM(H61:S61)</f>
        <v>3094650</v>
      </c>
      <c r="D61" s="22">
        <f>SUM(T61:AE61)</f>
        <v>3088800</v>
      </c>
      <c r="E61" s="22">
        <f>SUM(AF61:AQ61)</f>
        <v>3088800</v>
      </c>
      <c r="F61" s="22">
        <f>SUM(B61:E61)</f>
        <v>9272250</v>
      </c>
      <c r="G61" s="22">
        <v>0</v>
      </c>
      <c r="H61" s="22">
        <f>IF(H$4&lt;Hypothèses!$B$59,0,Hypothèses!$B$58*Hypothèses!$B$61*Hypothèses!$B$47*IF(H$4=Hypothèses!$B$59,0.5,1)*IF(H$4-Hypothèses!$B$59&lt;12,Hypothèses!$B$62,IF(H$4-Hypothèses!$B$59&lt;Hypothèses!$B$66,Hypothèses!$B$63,Hypothèses!$B$64)))</f>
        <v>134550</v>
      </c>
      <c r="I61" s="22">
        <f>IF(I$4&lt;Hypothèses!$B$59,0,Hypothèses!$B$58*Hypothèses!$B$61*Hypothèses!$B$47*IF(I$4=Hypothèses!$B$59,0.5,1)*IF(I$4-Hypothèses!$B$59&lt;12,Hypothèses!$B$62,IF(I$4-Hypothèses!$B$59&lt;Hypothèses!$B$66,Hypothèses!$B$63,Hypothèses!$B$64)))</f>
        <v>269100</v>
      </c>
      <c r="J61" s="22">
        <f>IF(J$4&lt;Hypothèses!$B$59,0,Hypothèses!$B$58*Hypothèses!$B$61*Hypothèses!$B$47*IF(J$4=Hypothèses!$B$59,0.5,1)*IF(J$4-Hypothèses!$B$59&lt;12,Hypothèses!$B$62,IF(J$4-Hypothèses!$B$59&lt;Hypothèses!$B$66,Hypothèses!$B$63,Hypothèses!$B$64)))</f>
        <v>269100</v>
      </c>
      <c r="K61" s="22">
        <f>IF(K$4&lt;Hypothèses!$B$59,0,Hypothèses!$B$58*Hypothèses!$B$61*Hypothèses!$B$47*IF(K$4=Hypothèses!$B$59,0.5,1)*IF(K$4-Hypothèses!$B$59&lt;12,Hypothèses!$B$62,IF(K$4-Hypothèses!$B$59&lt;Hypothèses!$B$66,Hypothèses!$B$63,Hypothèses!$B$64)))</f>
        <v>269100</v>
      </c>
      <c r="L61" s="22">
        <f>IF(L$4&lt;Hypothèses!$B$59,0,Hypothèses!$B$58*Hypothèses!$B$61*Hypothèses!$B$47*IF(L$4=Hypothèses!$B$59,0.5,1)*IF(L$4-Hypothèses!$B$59&lt;12,Hypothèses!$B$62,IF(L$4-Hypothèses!$B$59&lt;Hypothèses!$B$66,Hypothèses!$B$63,Hypothèses!$B$64)))</f>
        <v>269100</v>
      </c>
      <c r="M61" s="22">
        <f>IF(M$4&lt;Hypothèses!$B$59,0,Hypothèses!$B$58*Hypothèses!$B$61*Hypothèses!$B$47*IF(M$4=Hypothèses!$B$59,0.5,1)*IF(M$4-Hypothèses!$B$59&lt;12,Hypothèses!$B$62,IF(M$4-Hypothèses!$B$59&lt;Hypothèses!$B$66,Hypothèses!$B$63,Hypothèses!$B$64)))</f>
        <v>269100</v>
      </c>
      <c r="N61" s="22">
        <f>IF(N$4&lt;Hypothèses!$B$59,0,Hypothèses!$B$58*Hypothèses!$B$61*Hypothèses!$B$47*IF(N$4=Hypothèses!$B$59,0.5,1)*IF(N$4-Hypothèses!$B$59&lt;12,Hypothèses!$B$62,IF(N$4-Hypothèses!$B$59&lt;Hypothèses!$B$66,Hypothèses!$B$63,Hypothèses!$B$64)))</f>
        <v>269100</v>
      </c>
      <c r="O61" s="22">
        <f>IF(O$4&lt;Hypothèses!$B$59,0,Hypothèses!$B$58*Hypothèses!$B$61*Hypothèses!$B$47*IF(O$4=Hypothèses!$B$59,0.5,1)*IF(O$4-Hypothèses!$B$59&lt;12,Hypothèses!$B$62,IF(O$4-Hypothèses!$B$59&lt;Hypothèses!$B$66,Hypothèses!$B$63,Hypothèses!$B$64)))</f>
        <v>269100</v>
      </c>
      <c r="P61" s="22">
        <f>IF(P$4&lt;Hypothèses!$B$59,0,Hypothèses!$B$58*Hypothèses!$B$61*Hypothèses!$B$47*IF(P$4=Hypothèses!$B$59,0.5,1)*IF(P$4-Hypothèses!$B$59&lt;12,Hypothèses!$B$62,IF(P$4-Hypothèses!$B$59&lt;Hypothèses!$B$66,Hypothèses!$B$63,Hypothèses!$B$64)))</f>
        <v>269100</v>
      </c>
      <c r="Q61" s="22">
        <f>IF(Q$4&lt;Hypothèses!$B$59,0,Hypothèses!$B$58*Hypothèses!$B$61*Hypothèses!$B$47*IF(Q$4=Hypothèses!$B$59,0.5,1)*IF(Q$4-Hypothèses!$B$59&lt;12,Hypothèses!$B$62,IF(Q$4-Hypothèses!$B$59&lt;Hypothèses!$B$66,Hypothèses!$B$63,Hypothèses!$B$64)))</f>
        <v>269100</v>
      </c>
      <c r="R61" s="22">
        <f>IF(R$4&lt;Hypothèses!$B$59,0,Hypothèses!$B$58*Hypothèses!$B$61*Hypothèses!$B$47*IF(R$4=Hypothèses!$B$59,0.5,1)*IF(R$4-Hypothèses!$B$59&lt;12,Hypothèses!$B$62,IF(R$4-Hypothèses!$B$59&lt;Hypothèses!$B$66,Hypothèses!$B$63,Hypothèses!$B$64)))</f>
        <v>269100</v>
      </c>
      <c r="S61" s="22">
        <f>IF(S$4&lt;Hypothèses!$B$59,0,Hypothèses!$B$58*Hypothèses!$B$61*Hypothèses!$B$47*IF(S$4=Hypothèses!$B$59,0.5,1)*IF(S$4-Hypothèses!$B$59&lt;12,Hypothèses!$B$62,IF(S$4-Hypothèses!$B$59&lt;Hypothèses!$B$66,Hypothèses!$B$63,Hypothèses!$B$64)))</f>
        <v>269100</v>
      </c>
      <c r="T61" s="22">
        <f>IF(T$4&lt;Hypothèses!$B$59,0,Hypothèses!$B$58*Hypothèses!$B$61*Hypothèses!$B$47*IF(T$4=Hypothèses!$B$59,0.5,1)*IF(T$4-Hypothèses!$B$59&lt;12,Hypothèses!$B$62,IF(T$4-Hypothèses!$B$59&lt;Hypothèses!$B$66,Hypothèses!$B$63,Hypothèses!$B$64)))</f>
        <v>257400</v>
      </c>
      <c r="U61" s="22">
        <f>IF(U$4&lt;Hypothèses!$B$59,0,Hypothèses!$B$58*Hypothèses!$B$61*Hypothèses!$B$47*IF(U$4=Hypothèses!$B$59,0.5,1)*IF(U$4-Hypothèses!$B$59&lt;12,Hypothèses!$B$62,IF(U$4-Hypothèses!$B$59&lt;Hypothèses!$B$66,Hypothèses!$B$63,Hypothèses!$B$64)))</f>
        <v>257400</v>
      </c>
      <c r="V61" s="22">
        <f>IF(V$4&lt;Hypothèses!$B$59,0,Hypothèses!$B$58*Hypothèses!$B$61*Hypothèses!$B$47*IF(V$4=Hypothèses!$B$59,0.5,1)*IF(V$4-Hypothèses!$B$59&lt;12,Hypothèses!$B$62,IF(V$4-Hypothèses!$B$59&lt;Hypothèses!$B$66,Hypothèses!$B$63,Hypothèses!$B$64)))</f>
        <v>257400</v>
      </c>
      <c r="W61" s="22">
        <f>IF(W$4&lt;Hypothèses!$B$59,0,Hypothèses!$B$58*Hypothèses!$B$61*Hypothèses!$B$47*IF(W$4=Hypothèses!$B$59,0.5,1)*IF(W$4-Hypothèses!$B$59&lt;12,Hypothèses!$B$62,IF(W$4-Hypothèses!$B$59&lt;Hypothèses!$B$66,Hypothèses!$B$63,Hypothèses!$B$64)))</f>
        <v>257400</v>
      </c>
      <c r="X61" s="22">
        <f>IF(X$4&lt;Hypothèses!$B$59,0,Hypothèses!$B$58*Hypothèses!$B$61*Hypothèses!$B$47*IF(X$4=Hypothèses!$B$59,0.5,1)*IF(X$4-Hypothèses!$B$59&lt;12,Hypothèses!$B$62,IF(X$4-Hypothèses!$B$59&lt;Hypothèses!$B$66,Hypothèses!$B$63,Hypothèses!$B$64)))</f>
        <v>257400</v>
      </c>
      <c r="Y61" s="22">
        <f>IF(Y$4&lt;Hypothèses!$B$59,0,Hypothèses!$B$58*Hypothèses!$B$61*Hypothèses!$B$47*IF(Y$4=Hypothèses!$B$59,0.5,1)*IF(Y$4-Hypothèses!$B$59&lt;12,Hypothèses!$B$62,IF(Y$4-Hypothèses!$B$59&lt;Hypothèses!$B$66,Hypothèses!$B$63,Hypothèses!$B$64)))</f>
        <v>257400</v>
      </c>
      <c r="Z61" s="22">
        <f>IF(Z$4&lt;Hypothèses!$B$59,0,Hypothèses!$B$58*Hypothèses!$B$61*Hypothèses!$B$47*IF(Z$4=Hypothèses!$B$59,0.5,1)*IF(Z$4-Hypothèses!$B$59&lt;12,Hypothèses!$B$62,IF(Z$4-Hypothèses!$B$59&lt;Hypothèses!$B$66,Hypothèses!$B$63,Hypothèses!$B$64)))</f>
        <v>257400</v>
      </c>
      <c r="AA61" s="22">
        <f>IF(AA$4&lt;Hypothèses!$B$59,0,Hypothèses!$B$58*Hypothèses!$B$61*Hypothèses!$B$47*IF(AA$4=Hypothèses!$B$59,0.5,1)*IF(AA$4-Hypothèses!$B$59&lt;12,Hypothèses!$B$62,IF(AA$4-Hypothèses!$B$59&lt;Hypothèses!$B$66,Hypothèses!$B$63,Hypothèses!$B$64)))</f>
        <v>257400</v>
      </c>
      <c r="AB61" s="22">
        <f>IF(AB$4&lt;Hypothèses!$B$59,0,Hypothèses!$B$58*Hypothèses!$B$61*Hypothèses!$B$47*IF(AB$4=Hypothèses!$B$59,0.5,1)*IF(AB$4-Hypothèses!$B$59&lt;12,Hypothèses!$B$62,IF(AB$4-Hypothèses!$B$59&lt;Hypothèses!$B$66,Hypothèses!$B$63,Hypothèses!$B$64)))</f>
        <v>257400</v>
      </c>
      <c r="AC61" s="22">
        <f>IF(AC$4&lt;Hypothèses!$B$59,0,Hypothèses!$B$58*Hypothèses!$B$61*Hypothèses!$B$47*IF(AC$4=Hypothèses!$B$59,0.5,1)*IF(AC$4-Hypothèses!$B$59&lt;12,Hypothèses!$B$62,IF(AC$4-Hypothèses!$B$59&lt;Hypothèses!$B$66,Hypothèses!$B$63,Hypothèses!$B$64)))</f>
        <v>257400</v>
      </c>
      <c r="AD61" s="22">
        <f>IF(AD$4&lt;Hypothèses!$B$59,0,Hypothèses!$B$58*Hypothèses!$B$61*Hypothèses!$B$47*IF(AD$4=Hypothèses!$B$59,0.5,1)*IF(AD$4-Hypothèses!$B$59&lt;12,Hypothèses!$B$62,IF(AD$4-Hypothèses!$B$59&lt;Hypothèses!$B$66,Hypothèses!$B$63,Hypothèses!$B$64)))</f>
        <v>257400</v>
      </c>
      <c r="AE61" s="22">
        <f>IF(AE$4&lt;Hypothèses!$B$59,0,Hypothèses!$B$58*Hypothèses!$B$61*Hypothèses!$B$47*IF(AE$4=Hypothèses!$B$59,0.5,1)*IF(AE$4-Hypothèses!$B$59&lt;12,Hypothèses!$B$62,IF(AE$4-Hypothèses!$B$59&lt;Hypothèses!$B$66,Hypothèses!$B$63,Hypothèses!$B$64)))</f>
        <v>257400</v>
      </c>
      <c r="AF61" s="22">
        <f>IF(AF$4&lt;Hypothèses!$B$59,0,Hypothèses!$B$58*Hypothèses!$B$61*Hypothèses!$B$47*IF(AF$4=Hypothèses!$B$59,0.5,1)*IF(AF$4-Hypothèses!$B$59&lt;12,Hypothèses!$B$62,IF(AF$4-Hypothèses!$B$59&lt;Hypothèses!$B$66,Hypothèses!$B$63,Hypothèses!$B$64)))</f>
        <v>257400</v>
      </c>
      <c r="AG61" s="22">
        <f>IF(AG$4&lt;Hypothèses!$B$59,0,Hypothèses!$B$58*Hypothèses!$B$61*Hypothèses!$B$47*IF(AG$4=Hypothèses!$B$59,0.5,1)*IF(AG$4-Hypothèses!$B$59&lt;12,Hypothèses!$B$62,IF(AG$4-Hypothèses!$B$59&lt;Hypothèses!$B$66,Hypothèses!$B$63,Hypothèses!$B$64)))</f>
        <v>257400</v>
      </c>
      <c r="AH61" s="22">
        <f>IF(AH$4&lt;Hypothèses!$B$59,0,Hypothèses!$B$58*Hypothèses!$B$61*Hypothèses!$B$47*IF(AH$4=Hypothèses!$B$59,0.5,1)*IF(AH$4-Hypothèses!$B$59&lt;12,Hypothèses!$B$62,IF(AH$4-Hypothèses!$B$59&lt;Hypothèses!$B$66,Hypothèses!$B$63,Hypothèses!$B$64)))</f>
        <v>257400</v>
      </c>
      <c r="AI61" s="22">
        <f>IF(AI$4&lt;Hypothèses!$B$59,0,Hypothèses!$B$58*Hypothèses!$B$61*Hypothèses!$B$47*IF(AI$4=Hypothèses!$B$59,0.5,1)*IF(AI$4-Hypothèses!$B$59&lt;12,Hypothèses!$B$62,IF(AI$4-Hypothèses!$B$59&lt;Hypothèses!$B$66,Hypothèses!$B$63,Hypothèses!$B$64)))</f>
        <v>257400</v>
      </c>
      <c r="AJ61" s="22">
        <f>IF(AJ$4&lt;Hypothèses!$B$59,0,Hypothèses!$B$58*Hypothèses!$B$61*Hypothèses!$B$47*IF(AJ$4=Hypothèses!$B$59,0.5,1)*IF(AJ$4-Hypothèses!$B$59&lt;12,Hypothèses!$B$62,IF(AJ$4-Hypothèses!$B$59&lt;Hypothèses!$B$66,Hypothèses!$B$63,Hypothèses!$B$64)))</f>
        <v>257400</v>
      </c>
      <c r="AK61" s="22">
        <f>IF(AK$4&lt;Hypothèses!$B$59,0,Hypothèses!$B$58*Hypothèses!$B$61*Hypothèses!$B$47*IF(AK$4=Hypothèses!$B$59,0.5,1)*IF(AK$4-Hypothèses!$B$59&lt;12,Hypothèses!$B$62,IF(AK$4-Hypothèses!$B$59&lt;Hypothèses!$B$66,Hypothèses!$B$63,Hypothèses!$B$64)))</f>
        <v>257400</v>
      </c>
      <c r="AL61" s="22">
        <f>IF(AL$4&lt;Hypothèses!$B$59,0,Hypothèses!$B$58*Hypothèses!$B$61*Hypothèses!$B$47*IF(AL$4=Hypothèses!$B$59,0.5,1)*IF(AL$4-Hypothèses!$B$59&lt;12,Hypothèses!$B$62,IF(AL$4-Hypothèses!$B$59&lt;Hypothèses!$B$66,Hypothèses!$B$63,Hypothèses!$B$64)))</f>
        <v>257400</v>
      </c>
      <c r="AM61" s="22">
        <f>IF(AM$4&lt;Hypothèses!$B$59,0,Hypothèses!$B$58*Hypothèses!$B$61*Hypothèses!$B$47*IF(AM$4=Hypothèses!$B$59,0.5,1)*IF(AM$4-Hypothèses!$B$59&lt;12,Hypothèses!$B$62,IF(AM$4-Hypothèses!$B$59&lt;Hypothèses!$B$66,Hypothèses!$B$63,Hypothèses!$B$64)))</f>
        <v>257400</v>
      </c>
      <c r="AN61" s="22">
        <f>IF(AN$4&lt;Hypothèses!$B$59,0,Hypothèses!$B$58*Hypothèses!$B$61*Hypothèses!$B$47*IF(AN$4=Hypothèses!$B$59,0.5,1)*IF(AN$4-Hypothèses!$B$59&lt;12,Hypothèses!$B$62,IF(AN$4-Hypothèses!$B$59&lt;Hypothèses!$B$66,Hypothèses!$B$63,Hypothèses!$B$64)))</f>
        <v>257400</v>
      </c>
      <c r="AO61" s="22">
        <f>IF(AO$4&lt;Hypothèses!$B$59,0,Hypothèses!$B$58*Hypothèses!$B$61*Hypothèses!$B$47*IF(AO$4=Hypothèses!$B$59,0.5,1)*IF(AO$4-Hypothèses!$B$59&lt;12,Hypothèses!$B$62,IF(AO$4-Hypothèses!$B$59&lt;Hypothèses!$B$66,Hypothèses!$B$63,Hypothèses!$B$64)))</f>
        <v>257400</v>
      </c>
      <c r="AP61" s="22">
        <f>IF(AP$4&lt;Hypothèses!$B$59,0,Hypothèses!$B$58*Hypothèses!$B$61*Hypothèses!$B$47*IF(AP$4=Hypothèses!$B$59,0.5,1)*IF(AP$4-Hypothèses!$B$59&lt;12,Hypothèses!$B$62,IF(AP$4-Hypothèses!$B$59&lt;Hypothèses!$B$66,Hypothèses!$B$63,Hypothèses!$B$64)))</f>
        <v>257400</v>
      </c>
      <c r="AQ61" s="22">
        <f>IF(AQ$4&lt;Hypothèses!$B$59,0,Hypothèses!$B$58*Hypothèses!$B$61*Hypothèses!$B$47*IF(AQ$4=Hypothèses!$B$59,0.5,1)*IF(AQ$4-Hypothèses!$B$59&lt;12,Hypothèses!$B$62,IF(AQ$4-Hypothèses!$B$59&lt;Hypothèses!$B$66,Hypothèses!$B$63,Hypothèses!$B$64)))</f>
        <v>257400</v>
      </c>
    </row>
    <row r="62" spans="1:43" x14ac:dyDescent="0.3">
      <c r="A62" s="10" t="s">
        <v>203</v>
      </c>
      <c r="B62" s="24">
        <f>G62</f>
        <v>0</v>
      </c>
      <c r="C62" s="24">
        <f>SUM(H62:S62)</f>
        <v>13104173.333333338</v>
      </c>
      <c r="D62" s="24">
        <f>SUM(T62:AE62)</f>
        <v>10682880</v>
      </c>
      <c r="E62" s="24">
        <f>SUM(AF62:AQ62)</f>
        <v>10233600</v>
      </c>
      <c r="F62" s="24">
        <f>SUM(B62:E62)</f>
        <v>34020653.333333336</v>
      </c>
      <c r="G62" s="24">
        <f t="shared" ref="G62:AQ62" si="18">SUM(G58:G61)</f>
        <v>0</v>
      </c>
      <c r="H62" s="24">
        <f t="shared" si="18"/>
        <v>569746.66666666674</v>
      </c>
      <c r="I62" s="24">
        <f t="shared" si="18"/>
        <v>1139493.3333333335</v>
      </c>
      <c r="J62" s="24">
        <f t="shared" si="18"/>
        <v>1139493.3333333335</v>
      </c>
      <c r="K62" s="24">
        <f t="shared" si="18"/>
        <v>1139493.3333333335</v>
      </c>
      <c r="L62" s="24">
        <f t="shared" si="18"/>
        <v>1139493.3333333335</v>
      </c>
      <c r="M62" s="24">
        <f t="shared" si="18"/>
        <v>1139493.3333333335</v>
      </c>
      <c r="N62" s="24">
        <f t="shared" si="18"/>
        <v>1139493.3333333335</v>
      </c>
      <c r="O62" s="24">
        <f t="shared" si="18"/>
        <v>1139493.3333333335</v>
      </c>
      <c r="P62" s="24">
        <f t="shared" si="18"/>
        <v>1139493.3333333335</v>
      </c>
      <c r="Q62" s="24">
        <f t="shared" si="18"/>
        <v>1139493.3333333335</v>
      </c>
      <c r="R62" s="24">
        <f t="shared" si="18"/>
        <v>1139493.3333333335</v>
      </c>
      <c r="S62" s="24">
        <f t="shared" si="18"/>
        <v>1139493.3333333335</v>
      </c>
      <c r="T62" s="24">
        <f t="shared" si="18"/>
        <v>890240</v>
      </c>
      <c r="U62" s="24">
        <f t="shared" si="18"/>
        <v>890240</v>
      </c>
      <c r="V62" s="24">
        <f t="shared" si="18"/>
        <v>890240</v>
      </c>
      <c r="W62" s="24">
        <f t="shared" si="18"/>
        <v>890240</v>
      </c>
      <c r="X62" s="24">
        <f t="shared" si="18"/>
        <v>890240</v>
      </c>
      <c r="Y62" s="24">
        <f t="shared" si="18"/>
        <v>890240</v>
      </c>
      <c r="Z62" s="24">
        <f t="shared" si="18"/>
        <v>890240</v>
      </c>
      <c r="AA62" s="24">
        <f t="shared" si="18"/>
        <v>890240</v>
      </c>
      <c r="AB62" s="24">
        <f t="shared" si="18"/>
        <v>890240</v>
      </c>
      <c r="AC62" s="24">
        <f t="shared" si="18"/>
        <v>890240</v>
      </c>
      <c r="AD62" s="24">
        <f t="shared" si="18"/>
        <v>890240</v>
      </c>
      <c r="AE62" s="24">
        <f t="shared" si="18"/>
        <v>890240</v>
      </c>
      <c r="AF62" s="24">
        <f t="shared" si="18"/>
        <v>852800</v>
      </c>
      <c r="AG62" s="24">
        <f t="shared" si="18"/>
        <v>852800</v>
      </c>
      <c r="AH62" s="24">
        <f t="shared" si="18"/>
        <v>852800</v>
      </c>
      <c r="AI62" s="24">
        <f t="shared" si="18"/>
        <v>852800</v>
      </c>
      <c r="AJ62" s="24">
        <f t="shared" si="18"/>
        <v>852800</v>
      </c>
      <c r="AK62" s="24">
        <f t="shared" si="18"/>
        <v>852800</v>
      </c>
      <c r="AL62" s="24">
        <f t="shared" si="18"/>
        <v>852800</v>
      </c>
      <c r="AM62" s="24">
        <f t="shared" si="18"/>
        <v>852800</v>
      </c>
      <c r="AN62" s="24">
        <f t="shared" si="18"/>
        <v>852800</v>
      </c>
      <c r="AO62" s="24">
        <f t="shared" si="18"/>
        <v>852800</v>
      </c>
      <c r="AP62" s="24">
        <f t="shared" si="18"/>
        <v>852800</v>
      </c>
      <c r="AQ62" s="24">
        <f t="shared" si="18"/>
        <v>852800</v>
      </c>
    </row>
    <row r="64" spans="1:43" x14ac:dyDescent="0.3">
      <c r="A64" s="4" t="s">
        <v>337</v>
      </c>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spans="1:43" x14ac:dyDescent="0.3">
      <c r="A65" s="12" t="s">
        <v>338</v>
      </c>
      <c r="B65" s="25">
        <f>G65</f>
        <v>-4550000</v>
      </c>
      <c r="C65" s="25">
        <f>SUM(H65:S65)</f>
        <v>163720.00000000338</v>
      </c>
      <c r="D65" s="25">
        <f>SUM(T65:AE65)</f>
        <v>-24406.666666666511</v>
      </c>
      <c r="E65" s="25">
        <f>SUM(AF65:AQ65)</f>
        <v>516730</v>
      </c>
      <c r="F65" s="25">
        <f>SUM(B65:E65)</f>
        <v>-3893956.6666666623</v>
      </c>
      <c r="G65" s="25">
        <f t="shared" ref="G65:AQ65" si="19">G62-G54</f>
        <v>-4550000</v>
      </c>
      <c r="H65" s="25">
        <f t="shared" si="19"/>
        <v>-4099825.833333333</v>
      </c>
      <c r="I65" s="25">
        <f t="shared" si="19"/>
        <v>378504.16666666686</v>
      </c>
      <c r="J65" s="25">
        <f t="shared" si="19"/>
        <v>253504.16666666686</v>
      </c>
      <c r="K65" s="25">
        <f t="shared" si="19"/>
        <v>378504.16666666686</v>
      </c>
      <c r="L65" s="25">
        <f t="shared" si="19"/>
        <v>378504.16666666686</v>
      </c>
      <c r="M65" s="25">
        <f t="shared" si="19"/>
        <v>253504.16666666686</v>
      </c>
      <c r="N65" s="25">
        <f t="shared" si="19"/>
        <v>478504.16666666686</v>
      </c>
      <c r="O65" s="25">
        <f t="shared" si="19"/>
        <v>478504.16666666686</v>
      </c>
      <c r="P65" s="25">
        <f t="shared" si="19"/>
        <v>353504.16666666686</v>
      </c>
      <c r="Q65" s="25">
        <f t="shared" si="19"/>
        <v>478504.16666666686</v>
      </c>
      <c r="R65" s="25">
        <f t="shared" si="19"/>
        <v>478504.16666666686</v>
      </c>
      <c r="S65" s="25">
        <f t="shared" si="19"/>
        <v>353504.16666666686</v>
      </c>
      <c r="T65" s="25">
        <f t="shared" si="19"/>
        <v>-1411749.1666666665</v>
      </c>
      <c r="U65" s="25">
        <f t="shared" si="19"/>
        <v>194667.5</v>
      </c>
      <c r="V65" s="25">
        <f t="shared" si="19"/>
        <v>69667.5</v>
      </c>
      <c r="W65" s="25">
        <f t="shared" si="19"/>
        <v>-59332.5</v>
      </c>
      <c r="X65" s="25">
        <f t="shared" si="19"/>
        <v>194667.5</v>
      </c>
      <c r="Y65" s="25">
        <f t="shared" si="19"/>
        <v>69667.5</v>
      </c>
      <c r="Z65" s="25">
        <f t="shared" si="19"/>
        <v>194667.5</v>
      </c>
      <c r="AA65" s="25">
        <f t="shared" si="19"/>
        <v>194667.5</v>
      </c>
      <c r="AB65" s="25">
        <f t="shared" si="19"/>
        <v>69667.5</v>
      </c>
      <c r="AC65" s="25">
        <f t="shared" si="19"/>
        <v>194667.5</v>
      </c>
      <c r="AD65" s="25">
        <f t="shared" si="19"/>
        <v>194667.5</v>
      </c>
      <c r="AE65" s="25">
        <f t="shared" si="19"/>
        <v>69667.5</v>
      </c>
      <c r="AF65" s="25">
        <f t="shared" si="19"/>
        <v>-458772.5</v>
      </c>
      <c r="AG65" s="25">
        <f t="shared" si="19"/>
        <v>157227.5</v>
      </c>
      <c r="AH65" s="25">
        <f t="shared" si="19"/>
        <v>32227.5</v>
      </c>
      <c r="AI65" s="25">
        <f t="shared" si="19"/>
        <v>-96772.5</v>
      </c>
      <c r="AJ65" s="25">
        <f t="shared" si="19"/>
        <v>157227.5</v>
      </c>
      <c r="AK65" s="25">
        <f t="shared" si="19"/>
        <v>32227.5</v>
      </c>
      <c r="AL65" s="25">
        <f t="shared" si="19"/>
        <v>157227.5</v>
      </c>
      <c r="AM65" s="25">
        <f t="shared" si="19"/>
        <v>157227.5</v>
      </c>
      <c r="AN65" s="25">
        <f t="shared" si="19"/>
        <v>32227.5</v>
      </c>
      <c r="AO65" s="25">
        <f t="shared" si="19"/>
        <v>157227.5</v>
      </c>
      <c r="AP65" s="25">
        <f t="shared" si="19"/>
        <v>157227.5</v>
      </c>
      <c r="AQ65" s="25">
        <f t="shared" si="19"/>
        <v>32227.5</v>
      </c>
    </row>
    <row r="66" spans="1:43" x14ac:dyDescent="0.3">
      <c r="A66" s="10" t="s">
        <v>339</v>
      </c>
      <c r="B66" s="24">
        <f>G66</f>
        <v>10450000</v>
      </c>
      <c r="C66" s="24">
        <f>S66</f>
        <v>10613719.999999998</v>
      </c>
      <c r="D66" s="24">
        <f>AE66</f>
        <v>10589313.333333332</v>
      </c>
      <c r="E66" s="24">
        <f>AQ66</f>
        <v>11106043.333333332</v>
      </c>
      <c r="F66" s="24">
        <f>MIN(G66:AQ66)</f>
        <v>6350174.166666667</v>
      </c>
      <c r="G66" s="24">
        <f>Hypothèses!$B$54+G65</f>
        <v>10450000</v>
      </c>
      <c r="H66" s="24">
        <f t="shared" ref="H66:AQ66" si="20">G66+H65</f>
        <v>6350174.166666667</v>
      </c>
      <c r="I66" s="24">
        <f t="shared" si="20"/>
        <v>6728678.333333334</v>
      </c>
      <c r="J66" s="24">
        <f t="shared" si="20"/>
        <v>6982182.5000000009</v>
      </c>
      <c r="K66" s="24">
        <f t="shared" si="20"/>
        <v>7360686.6666666679</v>
      </c>
      <c r="L66" s="24">
        <f t="shared" si="20"/>
        <v>7739190.8333333349</v>
      </c>
      <c r="M66" s="24">
        <f t="shared" si="20"/>
        <v>7992695.0000000019</v>
      </c>
      <c r="N66" s="24">
        <f t="shared" si="20"/>
        <v>8471199.1666666679</v>
      </c>
      <c r="O66" s="24">
        <f t="shared" si="20"/>
        <v>8949703.333333334</v>
      </c>
      <c r="P66" s="24">
        <f t="shared" si="20"/>
        <v>9303207.5</v>
      </c>
      <c r="Q66" s="24">
        <f t="shared" si="20"/>
        <v>9781711.666666666</v>
      </c>
      <c r="R66" s="24">
        <f t="shared" si="20"/>
        <v>10260215.833333332</v>
      </c>
      <c r="S66" s="24">
        <f t="shared" si="20"/>
        <v>10613719.999999998</v>
      </c>
      <c r="T66" s="24">
        <f t="shared" si="20"/>
        <v>9201970.8333333321</v>
      </c>
      <c r="U66" s="24">
        <f t="shared" si="20"/>
        <v>9396638.3333333321</v>
      </c>
      <c r="V66" s="24">
        <f t="shared" si="20"/>
        <v>9466305.8333333321</v>
      </c>
      <c r="W66" s="24">
        <f t="shared" si="20"/>
        <v>9406973.3333333321</v>
      </c>
      <c r="X66" s="24">
        <f t="shared" si="20"/>
        <v>9601640.8333333321</v>
      </c>
      <c r="Y66" s="24">
        <f t="shared" si="20"/>
        <v>9671308.3333333321</v>
      </c>
      <c r="Z66" s="24">
        <f t="shared" si="20"/>
        <v>9865975.8333333321</v>
      </c>
      <c r="AA66" s="24">
        <f t="shared" si="20"/>
        <v>10060643.333333332</v>
      </c>
      <c r="AB66" s="24">
        <f t="shared" si="20"/>
        <v>10130310.833333332</v>
      </c>
      <c r="AC66" s="24">
        <f t="shared" si="20"/>
        <v>10324978.333333332</v>
      </c>
      <c r="AD66" s="24">
        <f t="shared" si="20"/>
        <v>10519645.833333332</v>
      </c>
      <c r="AE66" s="24">
        <f t="shared" si="20"/>
        <v>10589313.333333332</v>
      </c>
      <c r="AF66" s="24">
        <f t="shared" si="20"/>
        <v>10130540.833333332</v>
      </c>
      <c r="AG66" s="24">
        <f t="shared" si="20"/>
        <v>10287768.333333332</v>
      </c>
      <c r="AH66" s="24">
        <f t="shared" si="20"/>
        <v>10319995.833333332</v>
      </c>
      <c r="AI66" s="24">
        <f t="shared" si="20"/>
        <v>10223223.333333332</v>
      </c>
      <c r="AJ66" s="24">
        <f t="shared" si="20"/>
        <v>10380450.833333332</v>
      </c>
      <c r="AK66" s="24">
        <f t="shared" si="20"/>
        <v>10412678.333333332</v>
      </c>
      <c r="AL66" s="24">
        <f t="shared" si="20"/>
        <v>10569905.833333332</v>
      </c>
      <c r="AM66" s="24">
        <f t="shared" si="20"/>
        <v>10727133.333333332</v>
      </c>
      <c r="AN66" s="24">
        <f t="shared" si="20"/>
        <v>10759360.833333332</v>
      </c>
      <c r="AO66" s="24">
        <f t="shared" si="20"/>
        <v>10916588.333333332</v>
      </c>
      <c r="AP66" s="24">
        <f t="shared" si="20"/>
        <v>11073815.833333332</v>
      </c>
      <c r="AQ66" s="24">
        <f t="shared" si="20"/>
        <v>11106043.333333332</v>
      </c>
    </row>
    <row r="67" spans="1:43" x14ac:dyDescent="0.3">
      <c r="A67" s="6" t="s">
        <v>340</v>
      </c>
      <c r="E67" s="2" t="s">
        <v>341</v>
      </c>
      <c r="F67" s="26">
        <f>SUM(G67:AQ67)</f>
        <v>0</v>
      </c>
      <c r="G67" s="37">
        <f t="shared" ref="G67:AQ67" si="21">IF(G66&lt;0,1,0)</f>
        <v>0</v>
      </c>
      <c r="H67" s="37">
        <f t="shared" si="21"/>
        <v>0</v>
      </c>
      <c r="I67" s="37">
        <f t="shared" si="21"/>
        <v>0</v>
      </c>
      <c r="J67" s="37">
        <f t="shared" si="21"/>
        <v>0</v>
      </c>
      <c r="K67" s="37">
        <f t="shared" si="21"/>
        <v>0</v>
      </c>
      <c r="L67" s="37">
        <f t="shared" si="21"/>
        <v>0</v>
      </c>
      <c r="M67" s="37">
        <f t="shared" si="21"/>
        <v>0</v>
      </c>
      <c r="N67" s="37">
        <f t="shared" si="21"/>
        <v>0</v>
      </c>
      <c r="O67" s="37">
        <f t="shared" si="21"/>
        <v>0</v>
      </c>
      <c r="P67" s="37">
        <f t="shared" si="21"/>
        <v>0</v>
      </c>
      <c r="Q67" s="37">
        <f t="shared" si="21"/>
        <v>0</v>
      </c>
      <c r="R67" s="37">
        <f t="shared" si="21"/>
        <v>0</v>
      </c>
      <c r="S67" s="37">
        <f t="shared" si="21"/>
        <v>0</v>
      </c>
      <c r="T67" s="37">
        <f t="shared" si="21"/>
        <v>0</v>
      </c>
      <c r="U67" s="37">
        <f t="shared" si="21"/>
        <v>0</v>
      </c>
      <c r="V67" s="37">
        <f t="shared" si="21"/>
        <v>0</v>
      </c>
      <c r="W67" s="37">
        <f t="shared" si="21"/>
        <v>0</v>
      </c>
      <c r="X67" s="37">
        <f t="shared" si="21"/>
        <v>0</v>
      </c>
      <c r="Y67" s="37">
        <f t="shared" si="21"/>
        <v>0</v>
      </c>
      <c r="Z67" s="37">
        <f t="shared" si="21"/>
        <v>0</v>
      </c>
      <c r="AA67" s="37">
        <f t="shared" si="21"/>
        <v>0</v>
      </c>
      <c r="AB67" s="37">
        <f t="shared" si="21"/>
        <v>0</v>
      </c>
      <c r="AC67" s="37">
        <f t="shared" si="21"/>
        <v>0</v>
      </c>
      <c r="AD67" s="37">
        <f t="shared" si="21"/>
        <v>0</v>
      </c>
      <c r="AE67" s="37">
        <f t="shared" si="21"/>
        <v>0</v>
      </c>
      <c r="AF67" s="37">
        <f t="shared" si="21"/>
        <v>0</v>
      </c>
      <c r="AG67" s="37">
        <f t="shared" si="21"/>
        <v>0</v>
      </c>
      <c r="AH67" s="37">
        <f t="shared" si="21"/>
        <v>0</v>
      </c>
      <c r="AI67" s="37">
        <f t="shared" si="21"/>
        <v>0</v>
      </c>
      <c r="AJ67" s="37">
        <f t="shared" si="21"/>
        <v>0</v>
      </c>
      <c r="AK67" s="37">
        <f t="shared" si="21"/>
        <v>0</v>
      </c>
      <c r="AL67" s="37">
        <f t="shared" si="21"/>
        <v>0</v>
      </c>
      <c r="AM67" s="37">
        <f t="shared" si="21"/>
        <v>0</v>
      </c>
      <c r="AN67" s="37">
        <f t="shared" si="21"/>
        <v>0</v>
      </c>
      <c r="AO67" s="37">
        <f t="shared" si="21"/>
        <v>0</v>
      </c>
      <c r="AP67" s="37">
        <f t="shared" si="21"/>
        <v>0</v>
      </c>
      <c r="AQ67" s="37">
        <f t="shared" si="21"/>
        <v>0</v>
      </c>
    </row>
    <row r="69" spans="1:43" x14ac:dyDescent="0.3">
      <c r="A69" s="4" t="s">
        <v>342</v>
      </c>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3" x14ac:dyDescent="0.3">
      <c r="A70" s="6" t="s">
        <v>343</v>
      </c>
      <c r="B70" s="22">
        <f t="shared" ref="B70:B77" si="22">G70</f>
        <v>0</v>
      </c>
      <c r="C70" s="22">
        <f t="shared" ref="C70:C77" si="23">SUM(H70:S70)</f>
        <v>516666.66666666669</v>
      </c>
      <c r="D70" s="22">
        <f t="shared" ref="D70:D77" si="24">SUM(T70:AE70)</f>
        <v>516666.66666666669</v>
      </c>
      <c r="E70" s="22">
        <f t="shared" ref="E70:E77" si="25">SUM(AF70:AQ70)</f>
        <v>516666.66666666669</v>
      </c>
      <c r="F70" s="22">
        <f t="shared" ref="F70:F77" si="26">SUM(B70:E70)</f>
        <v>1550000</v>
      </c>
      <c r="G70" s="22">
        <f>SUMPRODUCT($G$7:$AQ$7*((G$4-$G$4:$AQ$4)&gt;=0)*((G$4-$G$4:$AQ$4)&lt;Hypothèses!$B$74))*Hypothèses!$B$9/Hypothèses!$B$74</f>
        <v>0</v>
      </c>
      <c r="H70" s="22">
        <f>SUMPRODUCT($G$7:$AQ$7*((H$4-$G$4:$AQ$4)&gt;=0)*((H$4-$G$4:$AQ$4)&lt;Hypothèses!$B$74))*Hypothèses!$B$9/Hypothèses!$B$74</f>
        <v>43055.555555555555</v>
      </c>
      <c r="I70" s="22">
        <f>SUMPRODUCT($G$7:$AQ$7*((I$4-$G$4:$AQ$4)&gt;=0)*((I$4-$G$4:$AQ$4)&lt;Hypothèses!$B$74))*Hypothèses!$B$9/Hypothèses!$B$74</f>
        <v>43055.555555555555</v>
      </c>
      <c r="J70" s="22">
        <f>SUMPRODUCT($G$7:$AQ$7*((J$4-$G$4:$AQ$4)&gt;=0)*((J$4-$G$4:$AQ$4)&lt;Hypothèses!$B$74))*Hypothèses!$B$9/Hypothèses!$B$74</f>
        <v>43055.555555555555</v>
      </c>
      <c r="K70" s="22">
        <f>SUMPRODUCT($G$7:$AQ$7*((K$4-$G$4:$AQ$4)&gt;=0)*((K$4-$G$4:$AQ$4)&lt;Hypothèses!$B$74))*Hypothèses!$B$9/Hypothèses!$B$74</f>
        <v>43055.555555555555</v>
      </c>
      <c r="L70" s="22">
        <f>SUMPRODUCT($G$7:$AQ$7*((L$4-$G$4:$AQ$4)&gt;=0)*((L$4-$G$4:$AQ$4)&lt;Hypothèses!$B$74))*Hypothèses!$B$9/Hypothèses!$B$74</f>
        <v>43055.555555555555</v>
      </c>
      <c r="M70" s="22">
        <f>SUMPRODUCT($G$7:$AQ$7*((M$4-$G$4:$AQ$4)&gt;=0)*((M$4-$G$4:$AQ$4)&lt;Hypothèses!$B$74))*Hypothèses!$B$9/Hypothèses!$B$74</f>
        <v>43055.555555555555</v>
      </c>
      <c r="N70" s="22">
        <f>SUMPRODUCT($G$7:$AQ$7*((N$4-$G$4:$AQ$4)&gt;=0)*((N$4-$G$4:$AQ$4)&lt;Hypothèses!$B$74))*Hypothèses!$B$9/Hypothèses!$B$74</f>
        <v>43055.555555555555</v>
      </c>
      <c r="O70" s="22">
        <f>SUMPRODUCT($G$7:$AQ$7*((O$4-$G$4:$AQ$4)&gt;=0)*((O$4-$G$4:$AQ$4)&lt;Hypothèses!$B$74))*Hypothèses!$B$9/Hypothèses!$B$74</f>
        <v>43055.555555555555</v>
      </c>
      <c r="P70" s="22">
        <f>SUMPRODUCT($G$7:$AQ$7*((P$4-$G$4:$AQ$4)&gt;=0)*((P$4-$G$4:$AQ$4)&lt;Hypothèses!$B$74))*Hypothèses!$B$9/Hypothèses!$B$74</f>
        <v>43055.555555555555</v>
      </c>
      <c r="Q70" s="22">
        <f>SUMPRODUCT($G$7:$AQ$7*((Q$4-$G$4:$AQ$4)&gt;=0)*((Q$4-$G$4:$AQ$4)&lt;Hypothèses!$B$74))*Hypothèses!$B$9/Hypothèses!$B$74</f>
        <v>43055.555555555555</v>
      </c>
      <c r="R70" s="22">
        <f>SUMPRODUCT($G$7:$AQ$7*((R$4-$G$4:$AQ$4)&gt;=0)*((R$4-$G$4:$AQ$4)&lt;Hypothèses!$B$74))*Hypothèses!$B$9/Hypothèses!$B$74</f>
        <v>43055.555555555555</v>
      </c>
      <c r="S70" s="22">
        <f>SUMPRODUCT($G$7:$AQ$7*((S$4-$G$4:$AQ$4)&gt;=0)*((S$4-$G$4:$AQ$4)&lt;Hypothèses!$B$74))*Hypothèses!$B$9/Hypothèses!$B$74</f>
        <v>43055.555555555555</v>
      </c>
      <c r="T70" s="22">
        <f>SUMPRODUCT($G$7:$AQ$7*((T$4-$G$4:$AQ$4)&gt;=0)*((T$4-$G$4:$AQ$4)&lt;Hypothèses!$B$74))*Hypothèses!$B$9/Hypothèses!$B$74</f>
        <v>43055.555555555555</v>
      </c>
      <c r="U70" s="22">
        <f>SUMPRODUCT($G$7:$AQ$7*((U$4-$G$4:$AQ$4)&gt;=0)*((U$4-$G$4:$AQ$4)&lt;Hypothèses!$B$74))*Hypothèses!$B$9/Hypothèses!$B$74</f>
        <v>43055.555555555555</v>
      </c>
      <c r="V70" s="22">
        <f>SUMPRODUCT($G$7:$AQ$7*((V$4-$G$4:$AQ$4)&gt;=0)*((V$4-$G$4:$AQ$4)&lt;Hypothèses!$B$74))*Hypothèses!$B$9/Hypothèses!$B$74</f>
        <v>43055.555555555555</v>
      </c>
      <c r="W70" s="22">
        <f>SUMPRODUCT($G$7:$AQ$7*((W$4-$G$4:$AQ$4)&gt;=0)*((W$4-$G$4:$AQ$4)&lt;Hypothèses!$B$74))*Hypothèses!$B$9/Hypothèses!$B$74</f>
        <v>43055.555555555555</v>
      </c>
      <c r="X70" s="22">
        <f>SUMPRODUCT($G$7:$AQ$7*((X$4-$G$4:$AQ$4)&gt;=0)*((X$4-$G$4:$AQ$4)&lt;Hypothèses!$B$74))*Hypothèses!$B$9/Hypothèses!$B$74</f>
        <v>43055.555555555555</v>
      </c>
      <c r="Y70" s="22">
        <f>SUMPRODUCT($G$7:$AQ$7*((Y$4-$G$4:$AQ$4)&gt;=0)*((Y$4-$G$4:$AQ$4)&lt;Hypothèses!$B$74))*Hypothèses!$B$9/Hypothèses!$B$74</f>
        <v>43055.555555555555</v>
      </c>
      <c r="Z70" s="22">
        <f>SUMPRODUCT($G$7:$AQ$7*((Z$4-$G$4:$AQ$4)&gt;=0)*((Z$4-$G$4:$AQ$4)&lt;Hypothèses!$B$74))*Hypothèses!$B$9/Hypothèses!$B$74</f>
        <v>43055.555555555555</v>
      </c>
      <c r="AA70" s="22">
        <f>SUMPRODUCT($G$7:$AQ$7*((AA$4-$G$4:$AQ$4)&gt;=0)*((AA$4-$G$4:$AQ$4)&lt;Hypothèses!$B$74))*Hypothèses!$B$9/Hypothèses!$B$74</f>
        <v>43055.555555555555</v>
      </c>
      <c r="AB70" s="22">
        <f>SUMPRODUCT($G$7:$AQ$7*((AB$4-$G$4:$AQ$4)&gt;=0)*((AB$4-$G$4:$AQ$4)&lt;Hypothèses!$B$74))*Hypothèses!$B$9/Hypothèses!$B$74</f>
        <v>43055.555555555555</v>
      </c>
      <c r="AC70" s="22">
        <f>SUMPRODUCT($G$7:$AQ$7*((AC$4-$G$4:$AQ$4)&gt;=0)*((AC$4-$G$4:$AQ$4)&lt;Hypothèses!$B$74))*Hypothèses!$B$9/Hypothèses!$B$74</f>
        <v>43055.555555555555</v>
      </c>
      <c r="AD70" s="22">
        <f>SUMPRODUCT($G$7:$AQ$7*((AD$4-$G$4:$AQ$4)&gt;=0)*((AD$4-$G$4:$AQ$4)&lt;Hypothèses!$B$74))*Hypothèses!$B$9/Hypothèses!$B$74</f>
        <v>43055.555555555555</v>
      </c>
      <c r="AE70" s="22">
        <f>SUMPRODUCT($G$7:$AQ$7*((AE$4-$G$4:$AQ$4)&gt;=0)*((AE$4-$G$4:$AQ$4)&lt;Hypothèses!$B$74))*Hypothèses!$B$9/Hypothèses!$B$74</f>
        <v>43055.555555555555</v>
      </c>
      <c r="AF70" s="22">
        <f>SUMPRODUCT($G$7:$AQ$7*((AF$4-$G$4:$AQ$4)&gt;=0)*((AF$4-$G$4:$AQ$4)&lt;Hypothèses!$B$74))*Hypothèses!$B$9/Hypothèses!$B$74</f>
        <v>43055.555555555555</v>
      </c>
      <c r="AG70" s="22">
        <f>SUMPRODUCT($G$7:$AQ$7*((AG$4-$G$4:$AQ$4)&gt;=0)*((AG$4-$G$4:$AQ$4)&lt;Hypothèses!$B$74))*Hypothèses!$B$9/Hypothèses!$B$74</f>
        <v>43055.555555555555</v>
      </c>
      <c r="AH70" s="22">
        <f>SUMPRODUCT($G$7:$AQ$7*((AH$4-$G$4:$AQ$4)&gt;=0)*((AH$4-$G$4:$AQ$4)&lt;Hypothèses!$B$74))*Hypothèses!$B$9/Hypothèses!$B$74</f>
        <v>43055.555555555555</v>
      </c>
      <c r="AI70" s="22">
        <f>SUMPRODUCT($G$7:$AQ$7*((AI$4-$G$4:$AQ$4)&gt;=0)*((AI$4-$G$4:$AQ$4)&lt;Hypothèses!$B$74))*Hypothèses!$B$9/Hypothèses!$B$74</f>
        <v>43055.555555555555</v>
      </c>
      <c r="AJ70" s="22">
        <f>SUMPRODUCT($G$7:$AQ$7*((AJ$4-$G$4:$AQ$4)&gt;=0)*((AJ$4-$G$4:$AQ$4)&lt;Hypothèses!$B$74))*Hypothèses!$B$9/Hypothèses!$B$74</f>
        <v>43055.555555555555</v>
      </c>
      <c r="AK70" s="22">
        <f>SUMPRODUCT($G$7:$AQ$7*((AK$4-$G$4:$AQ$4)&gt;=0)*((AK$4-$G$4:$AQ$4)&lt;Hypothèses!$B$74))*Hypothèses!$B$9/Hypothèses!$B$74</f>
        <v>43055.555555555555</v>
      </c>
      <c r="AL70" s="22">
        <f>SUMPRODUCT($G$7:$AQ$7*((AL$4-$G$4:$AQ$4)&gt;=0)*((AL$4-$G$4:$AQ$4)&lt;Hypothèses!$B$74))*Hypothèses!$B$9/Hypothèses!$B$74</f>
        <v>43055.555555555555</v>
      </c>
      <c r="AM70" s="22">
        <f>SUMPRODUCT($G$7:$AQ$7*((AM$4-$G$4:$AQ$4)&gt;=0)*((AM$4-$G$4:$AQ$4)&lt;Hypothèses!$B$74))*Hypothèses!$B$9/Hypothèses!$B$74</f>
        <v>43055.555555555555</v>
      </c>
      <c r="AN70" s="22">
        <f>SUMPRODUCT($G$7:$AQ$7*((AN$4-$G$4:$AQ$4)&gt;=0)*((AN$4-$G$4:$AQ$4)&lt;Hypothèses!$B$74))*Hypothèses!$B$9/Hypothèses!$B$74</f>
        <v>43055.555555555555</v>
      </c>
      <c r="AO70" s="22">
        <f>SUMPRODUCT($G$7:$AQ$7*((AO$4-$G$4:$AQ$4)&gt;=0)*((AO$4-$G$4:$AQ$4)&lt;Hypothèses!$B$74))*Hypothèses!$B$9/Hypothèses!$B$74</f>
        <v>43055.555555555555</v>
      </c>
      <c r="AP70" s="22">
        <f>SUMPRODUCT($G$7:$AQ$7*((AP$4-$G$4:$AQ$4)&gt;=0)*((AP$4-$G$4:$AQ$4)&lt;Hypothèses!$B$74))*Hypothèses!$B$9/Hypothèses!$B$74</f>
        <v>43055.555555555555</v>
      </c>
      <c r="AQ70" s="22">
        <f>SUMPRODUCT($G$7:$AQ$7*((AQ$4-$G$4:$AQ$4)&gt;=0)*((AQ$4-$G$4:$AQ$4)&lt;Hypothèses!$B$74))*Hypothèses!$B$9/Hypothèses!$B$74</f>
        <v>43055.555555555555</v>
      </c>
    </row>
    <row r="71" spans="1:43" x14ac:dyDescent="0.3">
      <c r="A71" s="6" t="s">
        <v>344</v>
      </c>
      <c r="B71" s="22">
        <f t="shared" si="22"/>
        <v>0</v>
      </c>
      <c r="C71" s="22">
        <f t="shared" si="23"/>
        <v>2375000</v>
      </c>
      <c r="D71" s="22">
        <f t="shared" si="24"/>
        <v>0</v>
      </c>
      <c r="E71" s="22">
        <f t="shared" si="25"/>
        <v>0</v>
      </c>
      <c r="F71" s="22">
        <f t="shared" si="26"/>
        <v>2375000</v>
      </c>
      <c r="G71" s="22">
        <f>SUMPRODUCT($G$8:$AQ$8*((G$4-$G$4:$AQ$4)&gt;=0)*((G$4-$G$4:$AQ$4)&lt;Hypothèses!$B$76))*Hypothèses!$B$12/Hypothèses!$B$76</f>
        <v>0</v>
      </c>
      <c r="H71" s="22">
        <f>SUMPRODUCT($G$8:$AQ$8*((H$4-$G$4:$AQ$4)&gt;=0)*((H$4-$G$4:$AQ$4)&lt;Hypothèses!$B$76))*Hypothèses!$B$12/Hypothèses!$B$76</f>
        <v>197916.66666666666</v>
      </c>
      <c r="I71" s="22">
        <f>SUMPRODUCT($G$8:$AQ$8*((I$4-$G$4:$AQ$4)&gt;=0)*((I$4-$G$4:$AQ$4)&lt;Hypothèses!$B$76))*Hypothèses!$B$12/Hypothèses!$B$76</f>
        <v>197916.66666666666</v>
      </c>
      <c r="J71" s="22">
        <f>SUMPRODUCT($G$8:$AQ$8*((J$4-$G$4:$AQ$4)&gt;=0)*((J$4-$G$4:$AQ$4)&lt;Hypothèses!$B$76))*Hypothèses!$B$12/Hypothèses!$B$76</f>
        <v>197916.66666666666</v>
      </c>
      <c r="K71" s="22">
        <f>SUMPRODUCT($G$8:$AQ$8*((K$4-$G$4:$AQ$4)&gt;=0)*((K$4-$G$4:$AQ$4)&lt;Hypothèses!$B$76))*Hypothèses!$B$12/Hypothèses!$B$76</f>
        <v>197916.66666666666</v>
      </c>
      <c r="L71" s="22">
        <f>SUMPRODUCT($G$8:$AQ$8*((L$4-$G$4:$AQ$4)&gt;=0)*((L$4-$G$4:$AQ$4)&lt;Hypothèses!$B$76))*Hypothèses!$B$12/Hypothèses!$B$76</f>
        <v>197916.66666666666</v>
      </c>
      <c r="M71" s="22">
        <f>SUMPRODUCT($G$8:$AQ$8*((M$4-$G$4:$AQ$4)&gt;=0)*((M$4-$G$4:$AQ$4)&lt;Hypothèses!$B$76))*Hypothèses!$B$12/Hypothèses!$B$76</f>
        <v>197916.66666666666</v>
      </c>
      <c r="N71" s="22">
        <f>SUMPRODUCT($G$8:$AQ$8*((N$4-$G$4:$AQ$4)&gt;=0)*((N$4-$G$4:$AQ$4)&lt;Hypothèses!$B$76))*Hypothèses!$B$12/Hypothèses!$B$76</f>
        <v>197916.66666666666</v>
      </c>
      <c r="O71" s="22">
        <f>SUMPRODUCT($G$8:$AQ$8*((O$4-$G$4:$AQ$4)&gt;=0)*((O$4-$G$4:$AQ$4)&lt;Hypothèses!$B$76))*Hypothèses!$B$12/Hypothèses!$B$76</f>
        <v>197916.66666666666</v>
      </c>
      <c r="P71" s="22">
        <f>SUMPRODUCT($G$8:$AQ$8*((P$4-$G$4:$AQ$4)&gt;=0)*((P$4-$G$4:$AQ$4)&lt;Hypothèses!$B$76))*Hypothèses!$B$12/Hypothèses!$B$76</f>
        <v>197916.66666666666</v>
      </c>
      <c r="Q71" s="22">
        <f>SUMPRODUCT($G$8:$AQ$8*((Q$4-$G$4:$AQ$4)&gt;=0)*((Q$4-$G$4:$AQ$4)&lt;Hypothèses!$B$76))*Hypothèses!$B$12/Hypothèses!$B$76</f>
        <v>197916.66666666666</v>
      </c>
      <c r="R71" s="22">
        <f>SUMPRODUCT($G$8:$AQ$8*((R$4-$G$4:$AQ$4)&gt;=0)*((R$4-$G$4:$AQ$4)&lt;Hypothèses!$B$76))*Hypothèses!$B$12/Hypothèses!$B$76</f>
        <v>197916.66666666666</v>
      </c>
      <c r="S71" s="22">
        <f>SUMPRODUCT($G$8:$AQ$8*((S$4-$G$4:$AQ$4)&gt;=0)*((S$4-$G$4:$AQ$4)&lt;Hypothèses!$B$76))*Hypothèses!$B$12/Hypothèses!$B$76</f>
        <v>197916.66666666666</v>
      </c>
      <c r="T71" s="22">
        <f>SUMPRODUCT($G$8:$AQ$8*((T$4-$G$4:$AQ$4)&gt;=0)*((T$4-$G$4:$AQ$4)&lt;Hypothèses!$B$76))*Hypothèses!$B$12/Hypothèses!$B$76</f>
        <v>0</v>
      </c>
      <c r="U71" s="22">
        <f>SUMPRODUCT($G$8:$AQ$8*((U$4-$G$4:$AQ$4)&gt;=0)*((U$4-$G$4:$AQ$4)&lt;Hypothèses!$B$76))*Hypothèses!$B$12/Hypothèses!$B$76</f>
        <v>0</v>
      </c>
      <c r="V71" s="22">
        <f>SUMPRODUCT($G$8:$AQ$8*((V$4-$G$4:$AQ$4)&gt;=0)*((V$4-$G$4:$AQ$4)&lt;Hypothèses!$B$76))*Hypothèses!$B$12/Hypothèses!$B$76</f>
        <v>0</v>
      </c>
      <c r="W71" s="22">
        <f>SUMPRODUCT($G$8:$AQ$8*((W$4-$G$4:$AQ$4)&gt;=0)*((W$4-$G$4:$AQ$4)&lt;Hypothèses!$B$76))*Hypothèses!$B$12/Hypothèses!$B$76</f>
        <v>0</v>
      </c>
      <c r="X71" s="22">
        <f>SUMPRODUCT($G$8:$AQ$8*((X$4-$G$4:$AQ$4)&gt;=0)*((X$4-$G$4:$AQ$4)&lt;Hypothèses!$B$76))*Hypothèses!$B$12/Hypothèses!$B$76</f>
        <v>0</v>
      </c>
      <c r="Y71" s="22">
        <f>SUMPRODUCT($G$8:$AQ$8*((Y$4-$G$4:$AQ$4)&gt;=0)*((Y$4-$G$4:$AQ$4)&lt;Hypothèses!$B$76))*Hypothèses!$B$12/Hypothèses!$B$76</f>
        <v>0</v>
      </c>
      <c r="Z71" s="22">
        <f>SUMPRODUCT($G$8:$AQ$8*((Z$4-$G$4:$AQ$4)&gt;=0)*((Z$4-$G$4:$AQ$4)&lt;Hypothèses!$B$76))*Hypothèses!$B$12/Hypothèses!$B$76</f>
        <v>0</v>
      </c>
      <c r="AA71" s="22">
        <f>SUMPRODUCT($G$8:$AQ$8*((AA$4-$G$4:$AQ$4)&gt;=0)*((AA$4-$G$4:$AQ$4)&lt;Hypothèses!$B$76))*Hypothèses!$B$12/Hypothèses!$B$76</f>
        <v>0</v>
      </c>
      <c r="AB71" s="22">
        <f>SUMPRODUCT($G$8:$AQ$8*((AB$4-$G$4:$AQ$4)&gt;=0)*((AB$4-$G$4:$AQ$4)&lt;Hypothèses!$B$76))*Hypothèses!$B$12/Hypothèses!$B$76</f>
        <v>0</v>
      </c>
      <c r="AC71" s="22">
        <f>SUMPRODUCT($G$8:$AQ$8*((AC$4-$G$4:$AQ$4)&gt;=0)*((AC$4-$G$4:$AQ$4)&lt;Hypothèses!$B$76))*Hypothèses!$B$12/Hypothèses!$B$76</f>
        <v>0</v>
      </c>
      <c r="AD71" s="22">
        <f>SUMPRODUCT($G$8:$AQ$8*((AD$4-$G$4:$AQ$4)&gt;=0)*((AD$4-$G$4:$AQ$4)&lt;Hypothèses!$B$76))*Hypothèses!$B$12/Hypothèses!$B$76</f>
        <v>0</v>
      </c>
      <c r="AE71" s="22">
        <f>SUMPRODUCT($G$8:$AQ$8*((AE$4-$G$4:$AQ$4)&gt;=0)*((AE$4-$G$4:$AQ$4)&lt;Hypothèses!$B$76))*Hypothèses!$B$12/Hypothèses!$B$76</f>
        <v>0</v>
      </c>
      <c r="AF71" s="22">
        <f>SUMPRODUCT($G$8:$AQ$8*((AF$4-$G$4:$AQ$4)&gt;=0)*((AF$4-$G$4:$AQ$4)&lt;Hypothèses!$B$76))*Hypothèses!$B$12/Hypothèses!$B$76</f>
        <v>0</v>
      </c>
      <c r="AG71" s="22">
        <f>SUMPRODUCT($G$8:$AQ$8*((AG$4-$G$4:$AQ$4)&gt;=0)*((AG$4-$G$4:$AQ$4)&lt;Hypothèses!$B$76))*Hypothèses!$B$12/Hypothèses!$B$76</f>
        <v>0</v>
      </c>
      <c r="AH71" s="22">
        <f>SUMPRODUCT($G$8:$AQ$8*((AH$4-$G$4:$AQ$4)&gt;=0)*((AH$4-$G$4:$AQ$4)&lt;Hypothèses!$B$76))*Hypothèses!$B$12/Hypothèses!$B$76</f>
        <v>0</v>
      </c>
      <c r="AI71" s="22">
        <f>SUMPRODUCT($G$8:$AQ$8*((AI$4-$G$4:$AQ$4)&gt;=0)*((AI$4-$G$4:$AQ$4)&lt;Hypothèses!$B$76))*Hypothèses!$B$12/Hypothèses!$B$76</f>
        <v>0</v>
      </c>
      <c r="AJ71" s="22">
        <f>SUMPRODUCT($G$8:$AQ$8*((AJ$4-$G$4:$AQ$4)&gt;=0)*((AJ$4-$G$4:$AQ$4)&lt;Hypothèses!$B$76))*Hypothèses!$B$12/Hypothèses!$B$76</f>
        <v>0</v>
      </c>
      <c r="AK71" s="22">
        <f>SUMPRODUCT($G$8:$AQ$8*((AK$4-$G$4:$AQ$4)&gt;=0)*((AK$4-$G$4:$AQ$4)&lt;Hypothèses!$B$76))*Hypothèses!$B$12/Hypothèses!$B$76</f>
        <v>0</v>
      </c>
      <c r="AL71" s="22">
        <f>SUMPRODUCT($G$8:$AQ$8*((AL$4-$G$4:$AQ$4)&gt;=0)*((AL$4-$G$4:$AQ$4)&lt;Hypothèses!$B$76))*Hypothèses!$B$12/Hypothèses!$B$76</f>
        <v>0</v>
      </c>
      <c r="AM71" s="22">
        <f>SUMPRODUCT($G$8:$AQ$8*((AM$4-$G$4:$AQ$4)&gt;=0)*((AM$4-$G$4:$AQ$4)&lt;Hypothèses!$B$76))*Hypothèses!$B$12/Hypothèses!$B$76</f>
        <v>0</v>
      </c>
      <c r="AN71" s="22">
        <f>SUMPRODUCT($G$8:$AQ$8*((AN$4-$G$4:$AQ$4)&gt;=0)*((AN$4-$G$4:$AQ$4)&lt;Hypothèses!$B$76))*Hypothèses!$B$12/Hypothèses!$B$76</f>
        <v>0</v>
      </c>
      <c r="AO71" s="22">
        <f>SUMPRODUCT($G$8:$AQ$8*((AO$4-$G$4:$AQ$4)&gt;=0)*((AO$4-$G$4:$AQ$4)&lt;Hypothèses!$B$76))*Hypothèses!$B$12/Hypothèses!$B$76</f>
        <v>0</v>
      </c>
      <c r="AP71" s="22">
        <f>SUMPRODUCT($G$8:$AQ$8*((AP$4-$G$4:$AQ$4)&gt;=0)*((AP$4-$G$4:$AQ$4)&lt;Hypothèses!$B$76))*Hypothèses!$B$12/Hypothèses!$B$76</f>
        <v>0</v>
      </c>
      <c r="AQ71" s="22">
        <f>SUMPRODUCT($G$8:$AQ$8*((AQ$4-$G$4:$AQ$4)&gt;=0)*((AQ$4-$G$4:$AQ$4)&lt;Hypothèses!$B$76))*Hypothèses!$B$12/Hypothèses!$B$76</f>
        <v>0</v>
      </c>
    </row>
    <row r="72" spans="1:43" x14ac:dyDescent="0.3">
      <c r="A72" s="6" t="s">
        <v>247</v>
      </c>
      <c r="B72" s="22">
        <f t="shared" si="22"/>
        <v>0</v>
      </c>
      <c r="C72" s="22">
        <f t="shared" si="23"/>
        <v>333333.33333333326</v>
      </c>
      <c r="D72" s="22">
        <f t="shared" si="24"/>
        <v>333333.33333333326</v>
      </c>
      <c r="E72" s="22">
        <f t="shared" si="25"/>
        <v>333333.33333333326</v>
      </c>
      <c r="F72" s="22">
        <f t="shared" si="26"/>
        <v>999999.99999999977</v>
      </c>
      <c r="G72" s="22">
        <f>IF(AND(G$4&gt;=1,G$4&lt;=Hypothèses!$B$87),Hypothèses!$B$26/Hypothèses!$B$87,0)</f>
        <v>0</v>
      </c>
      <c r="H72" s="22">
        <f>IF(AND(H$4&gt;=1,H$4&lt;=Hypothèses!$B$87),Hypothèses!$B$26/Hypothèses!$B$87,0)</f>
        <v>27777.777777777777</v>
      </c>
      <c r="I72" s="22">
        <f>IF(AND(I$4&gt;=1,I$4&lt;=Hypothèses!$B$87),Hypothèses!$B$26/Hypothèses!$B$87,0)</f>
        <v>27777.777777777777</v>
      </c>
      <c r="J72" s="22">
        <f>IF(AND(J$4&gt;=1,J$4&lt;=Hypothèses!$B$87),Hypothèses!$B$26/Hypothèses!$B$87,0)</f>
        <v>27777.777777777777</v>
      </c>
      <c r="K72" s="22">
        <f>IF(AND(K$4&gt;=1,K$4&lt;=Hypothèses!$B$87),Hypothèses!$B$26/Hypothèses!$B$87,0)</f>
        <v>27777.777777777777</v>
      </c>
      <c r="L72" s="22">
        <f>IF(AND(L$4&gt;=1,L$4&lt;=Hypothèses!$B$87),Hypothèses!$B$26/Hypothèses!$B$87,0)</f>
        <v>27777.777777777777</v>
      </c>
      <c r="M72" s="22">
        <f>IF(AND(M$4&gt;=1,M$4&lt;=Hypothèses!$B$87),Hypothèses!$B$26/Hypothèses!$B$87,0)</f>
        <v>27777.777777777777</v>
      </c>
      <c r="N72" s="22">
        <f>IF(AND(N$4&gt;=1,N$4&lt;=Hypothèses!$B$87),Hypothèses!$B$26/Hypothèses!$B$87,0)</f>
        <v>27777.777777777777</v>
      </c>
      <c r="O72" s="22">
        <f>IF(AND(O$4&gt;=1,O$4&lt;=Hypothèses!$B$87),Hypothèses!$B$26/Hypothèses!$B$87,0)</f>
        <v>27777.777777777777</v>
      </c>
      <c r="P72" s="22">
        <f>IF(AND(P$4&gt;=1,P$4&lt;=Hypothèses!$B$87),Hypothèses!$B$26/Hypothèses!$B$87,0)</f>
        <v>27777.777777777777</v>
      </c>
      <c r="Q72" s="22">
        <f>IF(AND(Q$4&gt;=1,Q$4&lt;=Hypothèses!$B$87),Hypothèses!$B$26/Hypothèses!$B$87,0)</f>
        <v>27777.777777777777</v>
      </c>
      <c r="R72" s="22">
        <f>IF(AND(R$4&gt;=1,R$4&lt;=Hypothèses!$B$87),Hypothèses!$B$26/Hypothèses!$B$87,0)</f>
        <v>27777.777777777777</v>
      </c>
      <c r="S72" s="22">
        <f>IF(AND(S$4&gt;=1,S$4&lt;=Hypothèses!$B$87),Hypothèses!$B$26/Hypothèses!$B$87,0)</f>
        <v>27777.777777777777</v>
      </c>
      <c r="T72" s="22">
        <f>IF(AND(T$4&gt;=1,T$4&lt;=Hypothèses!$B$87),Hypothèses!$B$26/Hypothèses!$B$87,0)</f>
        <v>27777.777777777777</v>
      </c>
      <c r="U72" s="22">
        <f>IF(AND(U$4&gt;=1,U$4&lt;=Hypothèses!$B$87),Hypothèses!$B$26/Hypothèses!$B$87,0)</f>
        <v>27777.777777777777</v>
      </c>
      <c r="V72" s="22">
        <f>IF(AND(V$4&gt;=1,V$4&lt;=Hypothèses!$B$87),Hypothèses!$B$26/Hypothèses!$B$87,0)</f>
        <v>27777.777777777777</v>
      </c>
      <c r="W72" s="22">
        <f>IF(AND(W$4&gt;=1,W$4&lt;=Hypothèses!$B$87),Hypothèses!$B$26/Hypothèses!$B$87,0)</f>
        <v>27777.777777777777</v>
      </c>
      <c r="X72" s="22">
        <f>IF(AND(X$4&gt;=1,X$4&lt;=Hypothèses!$B$87),Hypothèses!$B$26/Hypothèses!$B$87,0)</f>
        <v>27777.777777777777</v>
      </c>
      <c r="Y72" s="22">
        <f>IF(AND(Y$4&gt;=1,Y$4&lt;=Hypothèses!$B$87),Hypothèses!$B$26/Hypothèses!$B$87,0)</f>
        <v>27777.777777777777</v>
      </c>
      <c r="Z72" s="22">
        <f>IF(AND(Z$4&gt;=1,Z$4&lt;=Hypothèses!$B$87),Hypothèses!$B$26/Hypothèses!$B$87,0)</f>
        <v>27777.777777777777</v>
      </c>
      <c r="AA72" s="22">
        <f>IF(AND(AA$4&gt;=1,AA$4&lt;=Hypothèses!$B$87),Hypothèses!$B$26/Hypothèses!$B$87,0)</f>
        <v>27777.777777777777</v>
      </c>
      <c r="AB72" s="22">
        <f>IF(AND(AB$4&gt;=1,AB$4&lt;=Hypothèses!$B$87),Hypothèses!$B$26/Hypothèses!$B$87,0)</f>
        <v>27777.777777777777</v>
      </c>
      <c r="AC72" s="22">
        <f>IF(AND(AC$4&gt;=1,AC$4&lt;=Hypothèses!$B$87),Hypothèses!$B$26/Hypothèses!$B$87,0)</f>
        <v>27777.777777777777</v>
      </c>
      <c r="AD72" s="22">
        <f>IF(AND(AD$4&gt;=1,AD$4&lt;=Hypothèses!$B$87),Hypothèses!$B$26/Hypothèses!$B$87,0)</f>
        <v>27777.777777777777</v>
      </c>
      <c r="AE72" s="22">
        <f>IF(AND(AE$4&gt;=1,AE$4&lt;=Hypothèses!$B$87),Hypothèses!$B$26/Hypothèses!$B$87,0)</f>
        <v>27777.777777777777</v>
      </c>
      <c r="AF72" s="22">
        <f>IF(AND(AF$4&gt;=1,AF$4&lt;=Hypothèses!$B$87),Hypothèses!$B$26/Hypothèses!$B$87,0)</f>
        <v>27777.777777777777</v>
      </c>
      <c r="AG72" s="22">
        <f>IF(AND(AG$4&gt;=1,AG$4&lt;=Hypothèses!$B$87),Hypothèses!$B$26/Hypothèses!$B$87,0)</f>
        <v>27777.777777777777</v>
      </c>
      <c r="AH72" s="22">
        <f>IF(AND(AH$4&gt;=1,AH$4&lt;=Hypothèses!$B$87),Hypothèses!$B$26/Hypothèses!$B$87,0)</f>
        <v>27777.777777777777</v>
      </c>
      <c r="AI72" s="22">
        <f>IF(AND(AI$4&gt;=1,AI$4&lt;=Hypothèses!$B$87),Hypothèses!$B$26/Hypothèses!$B$87,0)</f>
        <v>27777.777777777777</v>
      </c>
      <c r="AJ72" s="22">
        <f>IF(AND(AJ$4&gt;=1,AJ$4&lt;=Hypothèses!$B$87),Hypothèses!$B$26/Hypothèses!$B$87,0)</f>
        <v>27777.777777777777</v>
      </c>
      <c r="AK72" s="22">
        <f>IF(AND(AK$4&gt;=1,AK$4&lt;=Hypothèses!$B$87),Hypothèses!$B$26/Hypothèses!$B$87,0)</f>
        <v>27777.777777777777</v>
      </c>
      <c r="AL72" s="22">
        <f>IF(AND(AL$4&gt;=1,AL$4&lt;=Hypothèses!$B$87),Hypothèses!$B$26/Hypothèses!$B$87,0)</f>
        <v>27777.777777777777</v>
      </c>
      <c r="AM72" s="22">
        <f>IF(AND(AM$4&gt;=1,AM$4&lt;=Hypothèses!$B$87),Hypothèses!$B$26/Hypothèses!$B$87,0)</f>
        <v>27777.777777777777</v>
      </c>
      <c r="AN72" s="22">
        <f>IF(AND(AN$4&gt;=1,AN$4&lt;=Hypothèses!$B$87),Hypothèses!$B$26/Hypothèses!$B$87,0)</f>
        <v>27777.777777777777</v>
      </c>
      <c r="AO72" s="22">
        <f>IF(AND(AO$4&gt;=1,AO$4&lt;=Hypothèses!$B$87),Hypothèses!$B$26/Hypothèses!$B$87,0)</f>
        <v>27777.777777777777</v>
      </c>
      <c r="AP72" s="22">
        <f>IF(AND(AP$4&gt;=1,AP$4&lt;=Hypothèses!$B$87),Hypothèses!$B$26/Hypothèses!$B$87,0)</f>
        <v>27777.777777777777</v>
      </c>
      <c r="AQ72" s="22">
        <f>IF(AND(AQ$4&gt;=1,AQ$4&lt;=Hypothèses!$B$87),Hypothèses!$B$26/Hypothèses!$B$87,0)</f>
        <v>27777.777777777777</v>
      </c>
    </row>
    <row r="73" spans="1:43" x14ac:dyDescent="0.3">
      <c r="A73" s="10" t="s">
        <v>345</v>
      </c>
      <c r="B73" s="24">
        <f t="shared" si="22"/>
        <v>0</v>
      </c>
      <c r="C73" s="24">
        <f t="shared" si="23"/>
        <v>3225000</v>
      </c>
      <c r="D73" s="24">
        <f t="shared" si="24"/>
        <v>850000.00000000012</v>
      </c>
      <c r="E73" s="24">
        <f t="shared" si="25"/>
        <v>850000.00000000012</v>
      </c>
      <c r="F73" s="24">
        <f t="shared" si="26"/>
        <v>4925000</v>
      </c>
      <c r="G73" s="24">
        <f t="shared" ref="G73:AQ73" si="27">SUM(G70:G72)</f>
        <v>0</v>
      </c>
      <c r="H73" s="24">
        <f t="shared" si="27"/>
        <v>268750</v>
      </c>
      <c r="I73" s="24">
        <f t="shared" si="27"/>
        <v>268750</v>
      </c>
      <c r="J73" s="24">
        <f t="shared" si="27"/>
        <v>268750</v>
      </c>
      <c r="K73" s="24">
        <f t="shared" si="27"/>
        <v>268750</v>
      </c>
      <c r="L73" s="24">
        <f t="shared" si="27"/>
        <v>268750</v>
      </c>
      <c r="M73" s="24">
        <f t="shared" si="27"/>
        <v>268750</v>
      </c>
      <c r="N73" s="24">
        <f t="shared" si="27"/>
        <v>268750</v>
      </c>
      <c r="O73" s="24">
        <f t="shared" si="27"/>
        <v>268750</v>
      </c>
      <c r="P73" s="24">
        <f t="shared" si="27"/>
        <v>268750</v>
      </c>
      <c r="Q73" s="24">
        <f t="shared" si="27"/>
        <v>268750</v>
      </c>
      <c r="R73" s="24">
        <f t="shared" si="27"/>
        <v>268750</v>
      </c>
      <c r="S73" s="24">
        <f t="shared" si="27"/>
        <v>268750</v>
      </c>
      <c r="T73" s="24">
        <f t="shared" si="27"/>
        <v>70833.333333333328</v>
      </c>
      <c r="U73" s="24">
        <f t="shared" si="27"/>
        <v>70833.333333333328</v>
      </c>
      <c r="V73" s="24">
        <f t="shared" si="27"/>
        <v>70833.333333333328</v>
      </c>
      <c r="W73" s="24">
        <f t="shared" si="27"/>
        <v>70833.333333333328</v>
      </c>
      <c r="X73" s="24">
        <f t="shared" si="27"/>
        <v>70833.333333333328</v>
      </c>
      <c r="Y73" s="24">
        <f t="shared" si="27"/>
        <v>70833.333333333328</v>
      </c>
      <c r="Z73" s="24">
        <f t="shared" si="27"/>
        <v>70833.333333333328</v>
      </c>
      <c r="AA73" s="24">
        <f t="shared" si="27"/>
        <v>70833.333333333328</v>
      </c>
      <c r="AB73" s="24">
        <f t="shared" si="27"/>
        <v>70833.333333333328</v>
      </c>
      <c r="AC73" s="24">
        <f t="shared" si="27"/>
        <v>70833.333333333328</v>
      </c>
      <c r="AD73" s="24">
        <f t="shared" si="27"/>
        <v>70833.333333333328</v>
      </c>
      <c r="AE73" s="24">
        <f t="shared" si="27"/>
        <v>70833.333333333328</v>
      </c>
      <c r="AF73" s="24">
        <f t="shared" si="27"/>
        <v>70833.333333333328</v>
      </c>
      <c r="AG73" s="24">
        <f t="shared" si="27"/>
        <v>70833.333333333328</v>
      </c>
      <c r="AH73" s="24">
        <f t="shared" si="27"/>
        <v>70833.333333333328</v>
      </c>
      <c r="AI73" s="24">
        <f t="shared" si="27"/>
        <v>70833.333333333328</v>
      </c>
      <c r="AJ73" s="24">
        <f t="shared" si="27"/>
        <v>70833.333333333328</v>
      </c>
      <c r="AK73" s="24">
        <f t="shared" si="27"/>
        <v>70833.333333333328</v>
      </c>
      <c r="AL73" s="24">
        <f t="shared" si="27"/>
        <v>70833.333333333328</v>
      </c>
      <c r="AM73" s="24">
        <f t="shared" si="27"/>
        <v>70833.333333333328</v>
      </c>
      <c r="AN73" s="24">
        <f t="shared" si="27"/>
        <v>70833.333333333328</v>
      </c>
      <c r="AO73" s="24">
        <f t="shared" si="27"/>
        <v>70833.333333333328</v>
      </c>
      <c r="AP73" s="24">
        <f t="shared" si="27"/>
        <v>70833.333333333328</v>
      </c>
      <c r="AQ73" s="24">
        <f t="shared" si="27"/>
        <v>70833.333333333328</v>
      </c>
    </row>
    <row r="74" spans="1:43" x14ac:dyDescent="0.3">
      <c r="A74" s="6" t="s">
        <v>346</v>
      </c>
      <c r="B74" s="22">
        <f t="shared" si="22"/>
        <v>3050000</v>
      </c>
      <c r="C74" s="22">
        <f t="shared" si="23"/>
        <v>0</v>
      </c>
      <c r="D74" s="22">
        <f t="shared" si="24"/>
        <v>0</v>
      </c>
      <c r="E74" s="22">
        <f t="shared" si="25"/>
        <v>0</v>
      </c>
      <c r="F74" s="22">
        <f t="shared" si="26"/>
        <v>3050000</v>
      </c>
      <c r="G74" s="22">
        <f>Hypothèses!$B$22+Hypothèses!$B$23+Hypothèses!$B$24+Hypothèses!$B$27+Hypothèses!$B$28</f>
        <v>3050000</v>
      </c>
      <c r="H74" s="22">
        <f>0</f>
        <v>0</v>
      </c>
      <c r="I74" s="22">
        <f>0</f>
        <v>0</v>
      </c>
      <c r="J74" s="22">
        <f>0</f>
        <v>0</v>
      </c>
      <c r="K74" s="22">
        <f>0</f>
        <v>0</v>
      </c>
      <c r="L74" s="22">
        <f>0</f>
        <v>0</v>
      </c>
      <c r="M74" s="22">
        <f>0</f>
        <v>0</v>
      </c>
      <c r="N74" s="22">
        <f>0</f>
        <v>0</v>
      </c>
      <c r="O74" s="22">
        <f>0</f>
        <v>0</v>
      </c>
      <c r="P74" s="22">
        <f>0</f>
        <v>0</v>
      </c>
      <c r="Q74" s="22">
        <f>0</f>
        <v>0</v>
      </c>
      <c r="R74" s="22">
        <f>0</f>
        <v>0</v>
      </c>
      <c r="S74" s="22">
        <f>0</f>
        <v>0</v>
      </c>
      <c r="T74" s="22">
        <f>0</f>
        <v>0</v>
      </c>
      <c r="U74" s="22">
        <f>0</f>
        <v>0</v>
      </c>
      <c r="V74" s="22">
        <f>0</f>
        <v>0</v>
      </c>
      <c r="W74" s="22">
        <f>0</f>
        <v>0</v>
      </c>
      <c r="X74" s="22">
        <f>0</f>
        <v>0</v>
      </c>
      <c r="Y74" s="22">
        <f>0</f>
        <v>0</v>
      </c>
      <c r="Z74" s="22">
        <f>0</f>
        <v>0</v>
      </c>
      <c r="AA74" s="22">
        <f>0</f>
        <v>0</v>
      </c>
      <c r="AB74" s="22">
        <f>0</f>
        <v>0</v>
      </c>
      <c r="AC74" s="22">
        <f>0</f>
        <v>0</v>
      </c>
      <c r="AD74" s="22">
        <f>0</f>
        <v>0</v>
      </c>
      <c r="AE74" s="22">
        <f>0</f>
        <v>0</v>
      </c>
      <c r="AF74" s="22">
        <f>0</f>
        <v>0</v>
      </c>
      <c r="AG74" s="22">
        <f>0</f>
        <v>0</v>
      </c>
      <c r="AH74" s="22">
        <f>0</f>
        <v>0</v>
      </c>
      <c r="AI74" s="22">
        <f>0</f>
        <v>0</v>
      </c>
      <c r="AJ74" s="22">
        <f>0</f>
        <v>0</v>
      </c>
      <c r="AK74" s="22">
        <f>0</f>
        <v>0</v>
      </c>
      <c r="AL74" s="22">
        <f>0</f>
        <v>0</v>
      </c>
      <c r="AM74" s="22">
        <f>0</f>
        <v>0</v>
      </c>
      <c r="AN74" s="22">
        <f>0</f>
        <v>0</v>
      </c>
      <c r="AO74" s="22">
        <f>0</f>
        <v>0</v>
      </c>
      <c r="AP74" s="22">
        <f>0</f>
        <v>0</v>
      </c>
      <c r="AQ74" s="22">
        <f>0</f>
        <v>0</v>
      </c>
    </row>
    <row r="75" spans="1:43" x14ac:dyDescent="0.3">
      <c r="A75" s="6" t="s">
        <v>347</v>
      </c>
      <c r="B75" s="22">
        <f t="shared" si="22"/>
        <v>0</v>
      </c>
      <c r="C75" s="22">
        <f t="shared" si="23"/>
        <v>95000</v>
      </c>
      <c r="D75" s="22">
        <f t="shared" si="24"/>
        <v>190000</v>
      </c>
      <c r="E75" s="22">
        <f t="shared" si="25"/>
        <v>190000</v>
      </c>
      <c r="F75" s="22">
        <f t="shared" si="26"/>
        <v>475000</v>
      </c>
      <c r="G75" s="22">
        <f>IF(AND(G$4&gt;=Hypothèses!$B$91,MOD(G$4-Hypothèses!$B$91,6)=0),Hypothèses!$B$90,0)</f>
        <v>0</v>
      </c>
      <c r="H75" s="22">
        <f>IF(AND(H$4&gt;=Hypothèses!$B$91,MOD(H$4-Hypothèses!$B$91,6)=0),Hypothèses!$B$90,0)</f>
        <v>0</v>
      </c>
      <c r="I75" s="22">
        <f>IF(AND(I$4&gt;=Hypothèses!$B$91,MOD(I$4-Hypothèses!$B$91,6)=0),Hypothèses!$B$90,0)</f>
        <v>0</v>
      </c>
      <c r="J75" s="22">
        <f>IF(AND(J$4&gt;=Hypothèses!$B$91,MOD(J$4-Hypothèses!$B$91,6)=0),Hypothèses!$B$90,0)</f>
        <v>0</v>
      </c>
      <c r="K75" s="22">
        <f>IF(AND(K$4&gt;=Hypothèses!$B$91,MOD(K$4-Hypothèses!$B$91,6)=0),Hypothèses!$B$90,0)</f>
        <v>0</v>
      </c>
      <c r="L75" s="22">
        <f>IF(AND(L$4&gt;=Hypothèses!$B$91,MOD(L$4-Hypothèses!$B$91,6)=0),Hypothèses!$B$90,0)</f>
        <v>0</v>
      </c>
      <c r="M75" s="22">
        <f>IF(AND(M$4&gt;=Hypothèses!$B$91,MOD(M$4-Hypothèses!$B$91,6)=0),Hypothèses!$B$90,0)</f>
        <v>0</v>
      </c>
      <c r="N75" s="22">
        <f>IF(AND(N$4&gt;=Hypothèses!$B$91,MOD(N$4-Hypothèses!$B$91,6)=0),Hypothèses!$B$90,0)</f>
        <v>95000</v>
      </c>
      <c r="O75" s="22">
        <f>IF(AND(O$4&gt;=Hypothèses!$B$91,MOD(O$4-Hypothèses!$B$91,6)=0),Hypothèses!$B$90,0)</f>
        <v>0</v>
      </c>
      <c r="P75" s="22">
        <f>IF(AND(P$4&gt;=Hypothèses!$B$91,MOD(P$4-Hypothèses!$B$91,6)=0),Hypothèses!$B$90,0)</f>
        <v>0</v>
      </c>
      <c r="Q75" s="22">
        <f>IF(AND(Q$4&gt;=Hypothèses!$B$91,MOD(Q$4-Hypothèses!$B$91,6)=0),Hypothèses!$B$90,0)</f>
        <v>0</v>
      </c>
      <c r="R75" s="22">
        <f>IF(AND(R$4&gt;=Hypothèses!$B$91,MOD(R$4-Hypothèses!$B$91,6)=0),Hypothèses!$B$90,0)</f>
        <v>0</v>
      </c>
      <c r="S75" s="22">
        <f>IF(AND(S$4&gt;=Hypothèses!$B$91,MOD(S$4-Hypothèses!$B$91,6)=0),Hypothèses!$B$90,0)</f>
        <v>0</v>
      </c>
      <c r="T75" s="22">
        <f>IF(AND(T$4&gt;=Hypothèses!$B$91,MOD(T$4-Hypothèses!$B$91,6)=0),Hypothèses!$B$90,0)</f>
        <v>95000</v>
      </c>
      <c r="U75" s="22">
        <f>IF(AND(U$4&gt;=Hypothèses!$B$91,MOD(U$4-Hypothèses!$B$91,6)=0),Hypothèses!$B$90,0)</f>
        <v>0</v>
      </c>
      <c r="V75" s="22">
        <f>IF(AND(V$4&gt;=Hypothèses!$B$91,MOD(V$4-Hypothèses!$B$91,6)=0),Hypothèses!$B$90,0)</f>
        <v>0</v>
      </c>
      <c r="W75" s="22">
        <f>IF(AND(W$4&gt;=Hypothèses!$B$91,MOD(W$4-Hypothèses!$B$91,6)=0),Hypothèses!$B$90,0)</f>
        <v>0</v>
      </c>
      <c r="X75" s="22">
        <f>IF(AND(X$4&gt;=Hypothèses!$B$91,MOD(X$4-Hypothèses!$B$91,6)=0),Hypothèses!$B$90,0)</f>
        <v>0</v>
      </c>
      <c r="Y75" s="22">
        <f>IF(AND(Y$4&gt;=Hypothèses!$B$91,MOD(Y$4-Hypothèses!$B$91,6)=0),Hypothèses!$B$90,0)</f>
        <v>0</v>
      </c>
      <c r="Z75" s="22">
        <f>IF(AND(Z$4&gt;=Hypothèses!$B$91,MOD(Z$4-Hypothèses!$B$91,6)=0),Hypothèses!$B$90,0)</f>
        <v>95000</v>
      </c>
      <c r="AA75" s="22">
        <f>IF(AND(AA$4&gt;=Hypothèses!$B$91,MOD(AA$4-Hypothèses!$B$91,6)=0),Hypothèses!$B$90,0)</f>
        <v>0</v>
      </c>
      <c r="AB75" s="22">
        <f>IF(AND(AB$4&gt;=Hypothèses!$B$91,MOD(AB$4-Hypothèses!$B$91,6)=0),Hypothèses!$B$90,0)</f>
        <v>0</v>
      </c>
      <c r="AC75" s="22">
        <f>IF(AND(AC$4&gt;=Hypothèses!$B$91,MOD(AC$4-Hypothèses!$B$91,6)=0),Hypothèses!$B$90,0)</f>
        <v>0</v>
      </c>
      <c r="AD75" s="22">
        <f>IF(AND(AD$4&gt;=Hypothèses!$B$91,MOD(AD$4-Hypothèses!$B$91,6)=0),Hypothèses!$B$90,0)</f>
        <v>0</v>
      </c>
      <c r="AE75" s="22">
        <f>IF(AND(AE$4&gt;=Hypothèses!$B$91,MOD(AE$4-Hypothèses!$B$91,6)=0),Hypothèses!$B$90,0)</f>
        <v>0</v>
      </c>
      <c r="AF75" s="22">
        <f>IF(AND(AF$4&gt;=Hypothèses!$B$91,MOD(AF$4-Hypothèses!$B$91,6)=0),Hypothèses!$B$90,0)</f>
        <v>95000</v>
      </c>
      <c r="AG75" s="22">
        <f>IF(AND(AG$4&gt;=Hypothèses!$B$91,MOD(AG$4-Hypothèses!$B$91,6)=0),Hypothèses!$B$90,0)</f>
        <v>0</v>
      </c>
      <c r="AH75" s="22">
        <f>IF(AND(AH$4&gt;=Hypothèses!$B$91,MOD(AH$4-Hypothèses!$B$91,6)=0),Hypothèses!$B$90,0)</f>
        <v>0</v>
      </c>
      <c r="AI75" s="22">
        <f>IF(AND(AI$4&gt;=Hypothèses!$B$91,MOD(AI$4-Hypothèses!$B$91,6)=0),Hypothèses!$B$90,0)</f>
        <v>0</v>
      </c>
      <c r="AJ75" s="22">
        <f>IF(AND(AJ$4&gt;=Hypothèses!$B$91,MOD(AJ$4-Hypothèses!$B$91,6)=0),Hypothèses!$B$90,0)</f>
        <v>0</v>
      </c>
      <c r="AK75" s="22">
        <f>IF(AND(AK$4&gt;=Hypothèses!$B$91,MOD(AK$4-Hypothèses!$B$91,6)=0),Hypothèses!$B$90,0)</f>
        <v>0</v>
      </c>
      <c r="AL75" s="22">
        <f>IF(AND(AL$4&gt;=Hypothèses!$B$91,MOD(AL$4-Hypothèses!$B$91,6)=0),Hypothèses!$B$90,0)</f>
        <v>95000</v>
      </c>
      <c r="AM75" s="22">
        <f>IF(AND(AM$4&gt;=Hypothèses!$B$91,MOD(AM$4-Hypothèses!$B$91,6)=0),Hypothèses!$B$90,0)</f>
        <v>0</v>
      </c>
      <c r="AN75" s="22">
        <f>IF(AND(AN$4&gt;=Hypothèses!$B$91,MOD(AN$4-Hypothèses!$B$91,6)=0),Hypothèses!$B$90,0)</f>
        <v>0</v>
      </c>
      <c r="AO75" s="22">
        <f>IF(AND(AO$4&gt;=Hypothèses!$B$91,MOD(AO$4-Hypothèses!$B$91,6)=0),Hypothèses!$B$90,0)</f>
        <v>0</v>
      </c>
      <c r="AP75" s="22">
        <f>IF(AND(AP$4&gt;=Hypothèses!$B$91,MOD(AP$4-Hypothèses!$B$91,6)=0),Hypothèses!$B$90,0)</f>
        <v>0</v>
      </c>
      <c r="AQ75" s="22">
        <f>IF(AND(AQ$4&gt;=Hypothèses!$B$91,MOD(AQ$4-Hypothèses!$B$91,6)=0),Hypothèses!$B$90,0)</f>
        <v>0</v>
      </c>
    </row>
    <row r="76" spans="1:43" x14ac:dyDescent="0.3">
      <c r="A76" s="6" t="s">
        <v>250</v>
      </c>
      <c r="B76" s="22">
        <f t="shared" si="22"/>
        <v>0</v>
      </c>
      <c r="C76" s="22">
        <f t="shared" si="23"/>
        <v>600000</v>
      </c>
      <c r="D76" s="22">
        <f t="shared" si="24"/>
        <v>600000</v>
      </c>
      <c r="E76" s="22">
        <f t="shared" si="25"/>
        <v>600000</v>
      </c>
      <c r="F76" s="22">
        <f t="shared" si="26"/>
        <v>1800000</v>
      </c>
      <c r="G76" s="22">
        <f>IF(G$4&gt;=1,Hypothèses!$B$92,0)</f>
        <v>0</v>
      </c>
      <c r="H76" s="22">
        <f>IF(H$4&gt;=1,Hypothèses!$B$92,0)</f>
        <v>50000</v>
      </c>
      <c r="I76" s="22">
        <f>IF(I$4&gt;=1,Hypothèses!$B$92,0)</f>
        <v>50000</v>
      </c>
      <c r="J76" s="22">
        <f>IF(J$4&gt;=1,Hypothèses!$B$92,0)</f>
        <v>50000</v>
      </c>
      <c r="K76" s="22">
        <f>IF(K$4&gt;=1,Hypothèses!$B$92,0)</f>
        <v>50000</v>
      </c>
      <c r="L76" s="22">
        <f>IF(L$4&gt;=1,Hypothèses!$B$92,0)</f>
        <v>50000</v>
      </c>
      <c r="M76" s="22">
        <f>IF(M$4&gt;=1,Hypothèses!$B$92,0)</f>
        <v>50000</v>
      </c>
      <c r="N76" s="22">
        <f>IF(N$4&gt;=1,Hypothèses!$B$92,0)</f>
        <v>50000</v>
      </c>
      <c r="O76" s="22">
        <f>IF(O$4&gt;=1,Hypothèses!$B$92,0)</f>
        <v>50000</v>
      </c>
      <c r="P76" s="22">
        <f>IF(P$4&gt;=1,Hypothèses!$B$92,0)</f>
        <v>50000</v>
      </c>
      <c r="Q76" s="22">
        <f>IF(Q$4&gt;=1,Hypothèses!$B$92,0)</f>
        <v>50000</v>
      </c>
      <c r="R76" s="22">
        <f>IF(R$4&gt;=1,Hypothèses!$B$92,0)</f>
        <v>50000</v>
      </c>
      <c r="S76" s="22">
        <f>IF(S$4&gt;=1,Hypothèses!$B$92,0)</f>
        <v>50000</v>
      </c>
      <c r="T76" s="22">
        <f>IF(T$4&gt;=1,Hypothèses!$B$92,0)</f>
        <v>50000</v>
      </c>
      <c r="U76" s="22">
        <f>IF(U$4&gt;=1,Hypothèses!$B$92,0)</f>
        <v>50000</v>
      </c>
      <c r="V76" s="22">
        <f>IF(V$4&gt;=1,Hypothèses!$B$92,0)</f>
        <v>50000</v>
      </c>
      <c r="W76" s="22">
        <f>IF(W$4&gt;=1,Hypothèses!$B$92,0)</f>
        <v>50000</v>
      </c>
      <c r="X76" s="22">
        <f>IF(X$4&gt;=1,Hypothèses!$B$92,0)</f>
        <v>50000</v>
      </c>
      <c r="Y76" s="22">
        <f>IF(Y$4&gt;=1,Hypothèses!$B$92,0)</f>
        <v>50000</v>
      </c>
      <c r="Z76" s="22">
        <f>IF(Z$4&gt;=1,Hypothèses!$B$92,0)</f>
        <v>50000</v>
      </c>
      <c r="AA76" s="22">
        <f>IF(AA$4&gt;=1,Hypothèses!$B$92,0)</f>
        <v>50000</v>
      </c>
      <c r="AB76" s="22">
        <f>IF(AB$4&gt;=1,Hypothèses!$B$92,0)</f>
        <v>50000</v>
      </c>
      <c r="AC76" s="22">
        <f>IF(AC$4&gt;=1,Hypothèses!$B$92,0)</f>
        <v>50000</v>
      </c>
      <c r="AD76" s="22">
        <f>IF(AD$4&gt;=1,Hypothèses!$B$92,0)</f>
        <v>50000</v>
      </c>
      <c r="AE76" s="22">
        <f>IF(AE$4&gt;=1,Hypothèses!$B$92,0)</f>
        <v>50000</v>
      </c>
      <c r="AF76" s="22">
        <f>IF(AF$4&gt;=1,Hypothèses!$B$92,0)</f>
        <v>50000</v>
      </c>
      <c r="AG76" s="22">
        <f>IF(AG$4&gt;=1,Hypothèses!$B$92,0)</f>
        <v>50000</v>
      </c>
      <c r="AH76" s="22">
        <f>IF(AH$4&gt;=1,Hypothèses!$B$92,0)</f>
        <v>50000</v>
      </c>
      <c r="AI76" s="22">
        <f>IF(AI$4&gt;=1,Hypothèses!$B$92,0)</f>
        <v>50000</v>
      </c>
      <c r="AJ76" s="22">
        <f>IF(AJ$4&gt;=1,Hypothèses!$B$92,0)</f>
        <v>50000</v>
      </c>
      <c r="AK76" s="22">
        <f>IF(AK$4&gt;=1,Hypothèses!$B$92,0)</f>
        <v>50000</v>
      </c>
      <c r="AL76" s="22">
        <f>IF(AL$4&gt;=1,Hypothèses!$B$92,0)</f>
        <v>50000</v>
      </c>
      <c r="AM76" s="22">
        <f>IF(AM$4&gt;=1,Hypothèses!$B$92,0)</f>
        <v>50000</v>
      </c>
      <c r="AN76" s="22">
        <f>IF(AN$4&gt;=1,Hypothèses!$B$92,0)</f>
        <v>50000</v>
      </c>
      <c r="AO76" s="22">
        <f>IF(AO$4&gt;=1,Hypothèses!$B$92,0)</f>
        <v>50000</v>
      </c>
      <c r="AP76" s="22">
        <f>IF(AP$4&gt;=1,Hypothèses!$B$92,0)</f>
        <v>50000</v>
      </c>
      <c r="AQ76" s="22">
        <f>IF(AQ$4&gt;=1,Hypothèses!$B$92,0)</f>
        <v>50000</v>
      </c>
    </row>
    <row r="77" spans="1:43" x14ac:dyDescent="0.3">
      <c r="A77" s="10" t="s">
        <v>348</v>
      </c>
      <c r="B77" s="24">
        <f t="shared" si="22"/>
        <v>0</v>
      </c>
      <c r="C77" s="24">
        <f t="shared" si="23"/>
        <v>695000</v>
      </c>
      <c r="D77" s="24">
        <f t="shared" si="24"/>
        <v>790000</v>
      </c>
      <c r="E77" s="24">
        <f t="shared" si="25"/>
        <v>790000</v>
      </c>
      <c r="F77" s="24">
        <f t="shared" si="26"/>
        <v>2275000</v>
      </c>
      <c r="G77" s="24">
        <f t="shared" ref="G77:AQ77" si="28">G75+G76</f>
        <v>0</v>
      </c>
      <c r="H77" s="24">
        <f t="shared" si="28"/>
        <v>50000</v>
      </c>
      <c r="I77" s="24">
        <f t="shared" si="28"/>
        <v>50000</v>
      </c>
      <c r="J77" s="24">
        <f t="shared" si="28"/>
        <v>50000</v>
      </c>
      <c r="K77" s="24">
        <f t="shared" si="28"/>
        <v>50000</v>
      </c>
      <c r="L77" s="24">
        <f t="shared" si="28"/>
        <v>50000</v>
      </c>
      <c r="M77" s="24">
        <f t="shared" si="28"/>
        <v>50000</v>
      </c>
      <c r="N77" s="24">
        <f t="shared" si="28"/>
        <v>145000</v>
      </c>
      <c r="O77" s="24">
        <f t="shared" si="28"/>
        <v>50000</v>
      </c>
      <c r="P77" s="24">
        <f t="shared" si="28"/>
        <v>50000</v>
      </c>
      <c r="Q77" s="24">
        <f t="shared" si="28"/>
        <v>50000</v>
      </c>
      <c r="R77" s="24">
        <f t="shared" si="28"/>
        <v>50000</v>
      </c>
      <c r="S77" s="24">
        <f t="shared" si="28"/>
        <v>50000</v>
      </c>
      <c r="T77" s="24">
        <f t="shared" si="28"/>
        <v>145000</v>
      </c>
      <c r="U77" s="24">
        <f t="shared" si="28"/>
        <v>50000</v>
      </c>
      <c r="V77" s="24">
        <f t="shared" si="28"/>
        <v>50000</v>
      </c>
      <c r="W77" s="24">
        <f t="shared" si="28"/>
        <v>50000</v>
      </c>
      <c r="X77" s="24">
        <f t="shared" si="28"/>
        <v>50000</v>
      </c>
      <c r="Y77" s="24">
        <f t="shared" si="28"/>
        <v>50000</v>
      </c>
      <c r="Z77" s="24">
        <f t="shared" si="28"/>
        <v>145000</v>
      </c>
      <c r="AA77" s="24">
        <f t="shared" si="28"/>
        <v>50000</v>
      </c>
      <c r="AB77" s="24">
        <f t="shared" si="28"/>
        <v>50000</v>
      </c>
      <c r="AC77" s="24">
        <f t="shared" si="28"/>
        <v>50000</v>
      </c>
      <c r="AD77" s="24">
        <f t="shared" si="28"/>
        <v>50000</v>
      </c>
      <c r="AE77" s="24">
        <f t="shared" si="28"/>
        <v>50000</v>
      </c>
      <c r="AF77" s="24">
        <f t="shared" si="28"/>
        <v>145000</v>
      </c>
      <c r="AG77" s="24">
        <f t="shared" si="28"/>
        <v>50000</v>
      </c>
      <c r="AH77" s="24">
        <f t="shared" si="28"/>
        <v>50000</v>
      </c>
      <c r="AI77" s="24">
        <f t="shared" si="28"/>
        <v>50000</v>
      </c>
      <c r="AJ77" s="24">
        <f t="shared" si="28"/>
        <v>50000</v>
      </c>
      <c r="AK77" s="24">
        <f t="shared" si="28"/>
        <v>50000</v>
      </c>
      <c r="AL77" s="24">
        <f t="shared" si="28"/>
        <v>145000</v>
      </c>
      <c r="AM77" s="24">
        <f t="shared" si="28"/>
        <v>50000</v>
      </c>
      <c r="AN77" s="24">
        <f t="shared" si="28"/>
        <v>50000</v>
      </c>
      <c r="AO77" s="24">
        <f t="shared" si="28"/>
        <v>50000</v>
      </c>
      <c r="AP77" s="24">
        <f t="shared" si="28"/>
        <v>50000</v>
      </c>
      <c r="AQ77" s="24">
        <f t="shared" si="28"/>
        <v>50000</v>
      </c>
    </row>
    <row r="79" spans="1:43" x14ac:dyDescent="0.3">
      <c r="A79" s="4" t="s">
        <v>349</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3" x14ac:dyDescent="0.3">
      <c r="A80" s="6" t="s">
        <v>350</v>
      </c>
      <c r="B80" s="22">
        <f>G80</f>
        <v>0</v>
      </c>
      <c r="C80" s="22">
        <f>SUM(H80:S80)</f>
        <v>2491666.666666667</v>
      </c>
      <c r="D80" s="22">
        <f>SUM(T80:AE80)</f>
        <v>2600000</v>
      </c>
      <c r="E80" s="22">
        <f>SUM(AF80:AQ80)</f>
        <v>2600000</v>
      </c>
      <c r="F80" s="22">
        <f>SUM(B80:E80)</f>
        <v>7691666.666666667</v>
      </c>
      <c r="G80" s="22">
        <f>Hypothèses!$B$45*Hypothèses!$B$47*SUMPRODUCT($G$7:$AQ$7*((G$4-$G$4:$AQ$4)&gt;=0)*(1-0.5*((G$4-$G$4:$AQ$4)=0)))</f>
        <v>0</v>
      </c>
      <c r="H80" s="22">
        <f>Hypothèses!$B$45*Hypothèses!$B$47*SUMPRODUCT($G$7:$AQ$7*((H$4-$G$4:$AQ$4)&gt;=0)*(1-0.5*((H$4-$G$4:$AQ$4)=0)))</f>
        <v>108333.33333333334</v>
      </c>
      <c r="I80" s="22">
        <f>Hypothèses!$B$45*Hypothèses!$B$47*SUMPRODUCT($G$7:$AQ$7*((I$4-$G$4:$AQ$4)&gt;=0)*(1-0.5*((I$4-$G$4:$AQ$4)=0)))</f>
        <v>216666.66666666669</v>
      </c>
      <c r="J80" s="22">
        <f>Hypothèses!$B$45*Hypothèses!$B$47*SUMPRODUCT($G$7:$AQ$7*((J$4-$G$4:$AQ$4)&gt;=0)*(1-0.5*((J$4-$G$4:$AQ$4)=0)))</f>
        <v>216666.66666666669</v>
      </c>
      <c r="K80" s="22">
        <f>Hypothèses!$B$45*Hypothèses!$B$47*SUMPRODUCT($G$7:$AQ$7*((K$4-$G$4:$AQ$4)&gt;=0)*(1-0.5*((K$4-$G$4:$AQ$4)=0)))</f>
        <v>216666.66666666669</v>
      </c>
      <c r="L80" s="22">
        <f>Hypothèses!$B$45*Hypothèses!$B$47*SUMPRODUCT($G$7:$AQ$7*((L$4-$G$4:$AQ$4)&gt;=0)*(1-0.5*((L$4-$G$4:$AQ$4)=0)))</f>
        <v>216666.66666666669</v>
      </c>
      <c r="M80" s="22">
        <f>Hypothèses!$B$45*Hypothèses!$B$47*SUMPRODUCT($G$7:$AQ$7*((M$4-$G$4:$AQ$4)&gt;=0)*(1-0.5*((M$4-$G$4:$AQ$4)=0)))</f>
        <v>216666.66666666669</v>
      </c>
      <c r="N80" s="22">
        <f>Hypothèses!$B$45*Hypothèses!$B$47*SUMPRODUCT($G$7:$AQ$7*((N$4-$G$4:$AQ$4)&gt;=0)*(1-0.5*((N$4-$G$4:$AQ$4)=0)))</f>
        <v>216666.66666666669</v>
      </c>
      <c r="O80" s="22">
        <f>Hypothèses!$B$45*Hypothèses!$B$47*SUMPRODUCT($G$7:$AQ$7*((O$4-$G$4:$AQ$4)&gt;=0)*(1-0.5*((O$4-$G$4:$AQ$4)=0)))</f>
        <v>216666.66666666669</v>
      </c>
      <c r="P80" s="22">
        <f>Hypothèses!$B$45*Hypothèses!$B$47*SUMPRODUCT($G$7:$AQ$7*((P$4-$G$4:$AQ$4)&gt;=0)*(1-0.5*((P$4-$G$4:$AQ$4)=0)))</f>
        <v>216666.66666666669</v>
      </c>
      <c r="Q80" s="22">
        <f>Hypothèses!$B$45*Hypothèses!$B$47*SUMPRODUCT($G$7:$AQ$7*((Q$4-$G$4:$AQ$4)&gt;=0)*(1-0.5*((Q$4-$G$4:$AQ$4)=0)))</f>
        <v>216666.66666666669</v>
      </c>
      <c r="R80" s="22">
        <f>Hypothèses!$B$45*Hypothèses!$B$47*SUMPRODUCT($G$7:$AQ$7*((R$4-$G$4:$AQ$4)&gt;=0)*(1-0.5*((R$4-$G$4:$AQ$4)=0)))</f>
        <v>216666.66666666669</v>
      </c>
      <c r="S80" s="22">
        <f>Hypothèses!$B$45*Hypothèses!$B$47*SUMPRODUCT($G$7:$AQ$7*((S$4-$G$4:$AQ$4)&gt;=0)*(1-0.5*((S$4-$G$4:$AQ$4)=0)))</f>
        <v>216666.66666666669</v>
      </c>
      <c r="T80" s="22">
        <f>Hypothèses!$B$45*Hypothèses!$B$47*SUMPRODUCT($G$7:$AQ$7*((T$4-$G$4:$AQ$4)&gt;=0)*(1-0.5*((T$4-$G$4:$AQ$4)=0)))</f>
        <v>216666.66666666669</v>
      </c>
      <c r="U80" s="22">
        <f>Hypothèses!$B$45*Hypothèses!$B$47*SUMPRODUCT($G$7:$AQ$7*((U$4-$G$4:$AQ$4)&gt;=0)*(1-0.5*((U$4-$G$4:$AQ$4)=0)))</f>
        <v>216666.66666666669</v>
      </c>
      <c r="V80" s="22">
        <f>Hypothèses!$B$45*Hypothèses!$B$47*SUMPRODUCT($G$7:$AQ$7*((V$4-$G$4:$AQ$4)&gt;=0)*(1-0.5*((V$4-$G$4:$AQ$4)=0)))</f>
        <v>216666.66666666669</v>
      </c>
      <c r="W80" s="22">
        <f>Hypothèses!$B$45*Hypothèses!$B$47*SUMPRODUCT($G$7:$AQ$7*((W$4-$G$4:$AQ$4)&gt;=0)*(1-0.5*((W$4-$G$4:$AQ$4)=0)))</f>
        <v>216666.66666666669</v>
      </c>
      <c r="X80" s="22">
        <f>Hypothèses!$B$45*Hypothèses!$B$47*SUMPRODUCT($G$7:$AQ$7*((X$4-$G$4:$AQ$4)&gt;=0)*(1-0.5*((X$4-$G$4:$AQ$4)=0)))</f>
        <v>216666.66666666669</v>
      </c>
      <c r="Y80" s="22">
        <f>Hypothèses!$B$45*Hypothèses!$B$47*SUMPRODUCT($G$7:$AQ$7*((Y$4-$G$4:$AQ$4)&gt;=0)*(1-0.5*((Y$4-$G$4:$AQ$4)=0)))</f>
        <v>216666.66666666669</v>
      </c>
      <c r="Z80" s="22">
        <f>Hypothèses!$B$45*Hypothèses!$B$47*SUMPRODUCT($G$7:$AQ$7*((Z$4-$G$4:$AQ$4)&gt;=0)*(1-0.5*((Z$4-$G$4:$AQ$4)=0)))</f>
        <v>216666.66666666669</v>
      </c>
      <c r="AA80" s="22">
        <f>Hypothèses!$B$45*Hypothèses!$B$47*SUMPRODUCT($G$7:$AQ$7*((AA$4-$G$4:$AQ$4)&gt;=0)*(1-0.5*((AA$4-$G$4:$AQ$4)=0)))</f>
        <v>216666.66666666669</v>
      </c>
      <c r="AB80" s="22">
        <f>Hypothèses!$B$45*Hypothèses!$B$47*SUMPRODUCT($G$7:$AQ$7*((AB$4-$G$4:$AQ$4)&gt;=0)*(1-0.5*((AB$4-$G$4:$AQ$4)=0)))</f>
        <v>216666.66666666669</v>
      </c>
      <c r="AC80" s="22">
        <f>Hypothèses!$B$45*Hypothèses!$B$47*SUMPRODUCT($G$7:$AQ$7*((AC$4-$G$4:$AQ$4)&gt;=0)*(1-0.5*((AC$4-$G$4:$AQ$4)=0)))</f>
        <v>216666.66666666669</v>
      </c>
      <c r="AD80" s="22">
        <f>Hypothèses!$B$45*Hypothèses!$B$47*SUMPRODUCT($G$7:$AQ$7*((AD$4-$G$4:$AQ$4)&gt;=0)*(1-0.5*((AD$4-$G$4:$AQ$4)=0)))</f>
        <v>216666.66666666669</v>
      </c>
      <c r="AE80" s="22">
        <f>Hypothèses!$B$45*Hypothèses!$B$47*SUMPRODUCT($G$7:$AQ$7*((AE$4-$G$4:$AQ$4)&gt;=0)*(1-0.5*((AE$4-$G$4:$AQ$4)=0)))</f>
        <v>216666.66666666669</v>
      </c>
      <c r="AF80" s="22">
        <f>Hypothèses!$B$45*Hypothèses!$B$47*SUMPRODUCT($G$7:$AQ$7*((AF$4-$G$4:$AQ$4)&gt;=0)*(1-0.5*((AF$4-$G$4:$AQ$4)=0)))</f>
        <v>216666.66666666669</v>
      </c>
      <c r="AG80" s="22">
        <f>Hypothèses!$B$45*Hypothèses!$B$47*SUMPRODUCT($G$7:$AQ$7*((AG$4-$G$4:$AQ$4)&gt;=0)*(1-0.5*((AG$4-$G$4:$AQ$4)=0)))</f>
        <v>216666.66666666669</v>
      </c>
      <c r="AH80" s="22">
        <f>Hypothèses!$B$45*Hypothèses!$B$47*SUMPRODUCT($G$7:$AQ$7*((AH$4-$G$4:$AQ$4)&gt;=0)*(1-0.5*((AH$4-$G$4:$AQ$4)=0)))</f>
        <v>216666.66666666669</v>
      </c>
      <c r="AI80" s="22">
        <f>Hypothèses!$B$45*Hypothèses!$B$47*SUMPRODUCT($G$7:$AQ$7*((AI$4-$G$4:$AQ$4)&gt;=0)*(1-0.5*((AI$4-$G$4:$AQ$4)=0)))</f>
        <v>216666.66666666669</v>
      </c>
      <c r="AJ80" s="22">
        <f>Hypothèses!$B$45*Hypothèses!$B$47*SUMPRODUCT($G$7:$AQ$7*((AJ$4-$G$4:$AQ$4)&gt;=0)*(1-0.5*((AJ$4-$G$4:$AQ$4)=0)))</f>
        <v>216666.66666666669</v>
      </c>
      <c r="AK80" s="22">
        <f>Hypothèses!$B$45*Hypothèses!$B$47*SUMPRODUCT($G$7:$AQ$7*((AK$4-$G$4:$AQ$4)&gt;=0)*(1-0.5*((AK$4-$G$4:$AQ$4)=0)))</f>
        <v>216666.66666666669</v>
      </c>
      <c r="AL80" s="22">
        <f>Hypothèses!$B$45*Hypothèses!$B$47*SUMPRODUCT($G$7:$AQ$7*((AL$4-$G$4:$AQ$4)&gt;=0)*(1-0.5*((AL$4-$G$4:$AQ$4)=0)))</f>
        <v>216666.66666666669</v>
      </c>
      <c r="AM80" s="22">
        <f>Hypothèses!$B$45*Hypothèses!$B$47*SUMPRODUCT($G$7:$AQ$7*((AM$4-$G$4:$AQ$4)&gt;=0)*(1-0.5*((AM$4-$G$4:$AQ$4)=0)))</f>
        <v>216666.66666666669</v>
      </c>
      <c r="AN80" s="22">
        <f>Hypothèses!$B$45*Hypothèses!$B$47*SUMPRODUCT($G$7:$AQ$7*((AN$4-$G$4:$AQ$4)&gt;=0)*(1-0.5*((AN$4-$G$4:$AQ$4)=0)))</f>
        <v>216666.66666666669</v>
      </c>
      <c r="AO80" s="22">
        <f>Hypothèses!$B$45*Hypothèses!$B$47*SUMPRODUCT($G$7:$AQ$7*((AO$4-$G$4:$AQ$4)&gt;=0)*(1-0.5*((AO$4-$G$4:$AQ$4)=0)))</f>
        <v>216666.66666666669</v>
      </c>
      <c r="AP80" s="22">
        <f>Hypothèses!$B$45*Hypothèses!$B$47*SUMPRODUCT($G$7:$AQ$7*((AP$4-$G$4:$AQ$4)&gt;=0)*(1-0.5*((AP$4-$G$4:$AQ$4)=0)))</f>
        <v>216666.66666666669</v>
      </c>
      <c r="AQ80" s="22">
        <f>Hypothèses!$B$45*Hypothèses!$B$47*SUMPRODUCT($G$7:$AQ$7*((AQ$4-$G$4:$AQ$4)&gt;=0)*(1-0.5*((AQ$4-$G$4:$AQ$4)=0)))</f>
        <v>216666.66666666669</v>
      </c>
    </row>
    <row r="81" spans="1:43" x14ac:dyDescent="0.3">
      <c r="A81" s="6" t="s">
        <v>351</v>
      </c>
      <c r="B81" s="22">
        <f>G81</f>
        <v>0</v>
      </c>
      <c r="C81" s="22">
        <f>SUM(H81:S81)</f>
        <v>6229166.6666666688</v>
      </c>
      <c r="D81" s="22">
        <f>SUM(T81:AE81)</f>
        <v>6500000.0000000028</v>
      </c>
      <c r="E81" s="22">
        <f>SUM(AF81:AQ81)</f>
        <v>6500000.0000000028</v>
      </c>
      <c r="F81" s="22">
        <f>SUM(B81:E81)</f>
        <v>19229166.666666675</v>
      </c>
      <c r="G81" s="22">
        <f>Hypothèses!$B$46*Hypothèses!$B$47*SUMPRODUCT($G$8:$AQ$8*((G$4-$G$4:$AQ$4)&gt;=0)*(1-0.5*((G$4-$G$4:$AQ$4)=0)))</f>
        <v>0</v>
      </c>
      <c r="H81" s="22">
        <f>Hypothèses!$B$46*Hypothèses!$B$47*SUMPRODUCT($G$8:$AQ$8*((H$4-$G$4:$AQ$4)&gt;=0)*(1-0.5*((H$4-$G$4:$AQ$4)=0)))</f>
        <v>270833.33333333337</v>
      </c>
      <c r="I81" s="22">
        <f>Hypothèses!$B$46*Hypothèses!$B$47*SUMPRODUCT($G$8:$AQ$8*((I$4-$G$4:$AQ$4)&gt;=0)*(1-0.5*((I$4-$G$4:$AQ$4)=0)))</f>
        <v>541666.66666666674</v>
      </c>
      <c r="J81" s="22">
        <f>Hypothèses!$B$46*Hypothèses!$B$47*SUMPRODUCT($G$8:$AQ$8*((J$4-$G$4:$AQ$4)&gt;=0)*(1-0.5*((J$4-$G$4:$AQ$4)=0)))</f>
        <v>541666.66666666674</v>
      </c>
      <c r="K81" s="22">
        <f>Hypothèses!$B$46*Hypothèses!$B$47*SUMPRODUCT($G$8:$AQ$8*((K$4-$G$4:$AQ$4)&gt;=0)*(1-0.5*((K$4-$G$4:$AQ$4)=0)))</f>
        <v>541666.66666666674</v>
      </c>
      <c r="L81" s="22">
        <f>Hypothèses!$B$46*Hypothèses!$B$47*SUMPRODUCT($G$8:$AQ$8*((L$4-$G$4:$AQ$4)&gt;=0)*(1-0.5*((L$4-$G$4:$AQ$4)=0)))</f>
        <v>541666.66666666674</v>
      </c>
      <c r="M81" s="22">
        <f>Hypothèses!$B$46*Hypothèses!$B$47*SUMPRODUCT($G$8:$AQ$8*((M$4-$G$4:$AQ$4)&gt;=0)*(1-0.5*((M$4-$G$4:$AQ$4)=0)))</f>
        <v>541666.66666666674</v>
      </c>
      <c r="N81" s="22">
        <f>Hypothèses!$B$46*Hypothèses!$B$47*SUMPRODUCT($G$8:$AQ$8*((N$4-$G$4:$AQ$4)&gt;=0)*(1-0.5*((N$4-$G$4:$AQ$4)=0)))</f>
        <v>541666.66666666674</v>
      </c>
      <c r="O81" s="22">
        <f>Hypothèses!$B$46*Hypothèses!$B$47*SUMPRODUCT($G$8:$AQ$8*((O$4-$G$4:$AQ$4)&gt;=0)*(1-0.5*((O$4-$G$4:$AQ$4)=0)))</f>
        <v>541666.66666666674</v>
      </c>
      <c r="P81" s="22">
        <f>Hypothèses!$B$46*Hypothèses!$B$47*SUMPRODUCT($G$8:$AQ$8*((P$4-$G$4:$AQ$4)&gt;=0)*(1-0.5*((P$4-$G$4:$AQ$4)=0)))</f>
        <v>541666.66666666674</v>
      </c>
      <c r="Q81" s="22">
        <f>Hypothèses!$B$46*Hypothèses!$B$47*SUMPRODUCT($G$8:$AQ$8*((Q$4-$G$4:$AQ$4)&gt;=0)*(1-0.5*((Q$4-$G$4:$AQ$4)=0)))</f>
        <v>541666.66666666674</v>
      </c>
      <c r="R81" s="22">
        <f>Hypothèses!$B$46*Hypothèses!$B$47*SUMPRODUCT($G$8:$AQ$8*((R$4-$G$4:$AQ$4)&gt;=0)*(1-0.5*((R$4-$G$4:$AQ$4)=0)))</f>
        <v>541666.66666666674</v>
      </c>
      <c r="S81" s="22">
        <f>Hypothèses!$B$46*Hypothèses!$B$47*SUMPRODUCT($G$8:$AQ$8*((S$4-$G$4:$AQ$4)&gt;=0)*(1-0.5*((S$4-$G$4:$AQ$4)=0)))</f>
        <v>541666.66666666674</v>
      </c>
      <c r="T81" s="22">
        <f>Hypothèses!$B$46*Hypothèses!$B$47*SUMPRODUCT($G$8:$AQ$8*((T$4-$G$4:$AQ$4)&gt;=0)*(1-0.5*((T$4-$G$4:$AQ$4)=0)))</f>
        <v>541666.66666666674</v>
      </c>
      <c r="U81" s="22">
        <f>Hypothèses!$B$46*Hypothèses!$B$47*SUMPRODUCT($G$8:$AQ$8*((U$4-$G$4:$AQ$4)&gt;=0)*(1-0.5*((U$4-$G$4:$AQ$4)=0)))</f>
        <v>541666.66666666674</v>
      </c>
      <c r="V81" s="22">
        <f>Hypothèses!$B$46*Hypothèses!$B$47*SUMPRODUCT($G$8:$AQ$8*((V$4-$G$4:$AQ$4)&gt;=0)*(1-0.5*((V$4-$G$4:$AQ$4)=0)))</f>
        <v>541666.66666666674</v>
      </c>
      <c r="W81" s="22">
        <f>Hypothèses!$B$46*Hypothèses!$B$47*SUMPRODUCT($G$8:$AQ$8*((W$4-$G$4:$AQ$4)&gt;=0)*(1-0.5*((W$4-$G$4:$AQ$4)=0)))</f>
        <v>541666.66666666674</v>
      </c>
      <c r="X81" s="22">
        <f>Hypothèses!$B$46*Hypothèses!$B$47*SUMPRODUCT($G$8:$AQ$8*((X$4-$G$4:$AQ$4)&gt;=0)*(1-0.5*((X$4-$G$4:$AQ$4)=0)))</f>
        <v>541666.66666666674</v>
      </c>
      <c r="Y81" s="22">
        <f>Hypothèses!$B$46*Hypothèses!$B$47*SUMPRODUCT($G$8:$AQ$8*((Y$4-$G$4:$AQ$4)&gt;=0)*(1-0.5*((Y$4-$G$4:$AQ$4)=0)))</f>
        <v>541666.66666666674</v>
      </c>
      <c r="Z81" s="22">
        <f>Hypothèses!$B$46*Hypothèses!$B$47*SUMPRODUCT($G$8:$AQ$8*((Z$4-$G$4:$AQ$4)&gt;=0)*(1-0.5*((Z$4-$G$4:$AQ$4)=0)))</f>
        <v>541666.66666666674</v>
      </c>
      <c r="AA81" s="22">
        <f>Hypothèses!$B$46*Hypothèses!$B$47*SUMPRODUCT($G$8:$AQ$8*((AA$4-$G$4:$AQ$4)&gt;=0)*(1-0.5*((AA$4-$G$4:$AQ$4)=0)))</f>
        <v>541666.66666666674</v>
      </c>
      <c r="AB81" s="22">
        <f>Hypothèses!$B$46*Hypothèses!$B$47*SUMPRODUCT($G$8:$AQ$8*((AB$4-$G$4:$AQ$4)&gt;=0)*(1-0.5*((AB$4-$G$4:$AQ$4)=0)))</f>
        <v>541666.66666666674</v>
      </c>
      <c r="AC81" s="22">
        <f>Hypothèses!$B$46*Hypothèses!$B$47*SUMPRODUCT($G$8:$AQ$8*((AC$4-$G$4:$AQ$4)&gt;=0)*(1-0.5*((AC$4-$G$4:$AQ$4)=0)))</f>
        <v>541666.66666666674</v>
      </c>
      <c r="AD81" s="22">
        <f>Hypothèses!$B$46*Hypothèses!$B$47*SUMPRODUCT($G$8:$AQ$8*((AD$4-$G$4:$AQ$4)&gt;=0)*(1-0.5*((AD$4-$G$4:$AQ$4)=0)))</f>
        <v>541666.66666666674</v>
      </c>
      <c r="AE81" s="22">
        <f>Hypothèses!$B$46*Hypothèses!$B$47*SUMPRODUCT($G$8:$AQ$8*((AE$4-$G$4:$AQ$4)&gt;=0)*(1-0.5*((AE$4-$G$4:$AQ$4)=0)))</f>
        <v>541666.66666666674</v>
      </c>
      <c r="AF81" s="22">
        <f>Hypothèses!$B$46*Hypothèses!$B$47*SUMPRODUCT($G$8:$AQ$8*((AF$4-$G$4:$AQ$4)&gt;=0)*(1-0.5*((AF$4-$G$4:$AQ$4)=0)))</f>
        <v>541666.66666666674</v>
      </c>
      <c r="AG81" s="22">
        <f>Hypothèses!$B$46*Hypothèses!$B$47*SUMPRODUCT($G$8:$AQ$8*((AG$4-$G$4:$AQ$4)&gt;=0)*(1-0.5*((AG$4-$G$4:$AQ$4)=0)))</f>
        <v>541666.66666666674</v>
      </c>
      <c r="AH81" s="22">
        <f>Hypothèses!$B$46*Hypothèses!$B$47*SUMPRODUCT($G$8:$AQ$8*((AH$4-$G$4:$AQ$4)&gt;=0)*(1-0.5*((AH$4-$G$4:$AQ$4)=0)))</f>
        <v>541666.66666666674</v>
      </c>
      <c r="AI81" s="22">
        <f>Hypothèses!$B$46*Hypothèses!$B$47*SUMPRODUCT($G$8:$AQ$8*((AI$4-$G$4:$AQ$4)&gt;=0)*(1-0.5*((AI$4-$G$4:$AQ$4)=0)))</f>
        <v>541666.66666666674</v>
      </c>
      <c r="AJ81" s="22">
        <f>Hypothèses!$B$46*Hypothèses!$B$47*SUMPRODUCT($G$8:$AQ$8*((AJ$4-$G$4:$AQ$4)&gt;=0)*(1-0.5*((AJ$4-$G$4:$AQ$4)=0)))</f>
        <v>541666.66666666674</v>
      </c>
      <c r="AK81" s="22">
        <f>Hypothèses!$B$46*Hypothèses!$B$47*SUMPRODUCT($G$8:$AQ$8*((AK$4-$G$4:$AQ$4)&gt;=0)*(1-0.5*((AK$4-$G$4:$AQ$4)=0)))</f>
        <v>541666.66666666674</v>
      </c>
      <c r="AL81" s="22">
        <f>Hypothèses!$B$46*Hypothèses!$B$47*SUMPRODUCT($G$8:$AQ$8*((AL$4-$G$4:$AQ$4)&gt;=0)*(1-0.5*((AL$4-$G$4:$AQ$4)=0)))</f>
        <v>541666.66666666674</v>
      </c>
      <c r="AM81" s="22">
        <f>Hypothèses!$B$46*Hypothèses!$B$47*SUMPRODUCT($G$8:$AQ$8*((AM$4-$G$4:$AQ$4)&gt;=0)*(1-0.5*((AM$4-$G$4:$AQ$4)=0)))</f>
        <v>541666.66666666674</v>
      </c>
      <c r="AN81" s="22">
        <f>Hypothèses!$B$46*Hypothèses!$B$47*SUMPRODUCT($G$8:$AQ$8*((AN$4-$G$4:$AQ$4)&gt;=0)*(1-0.5*((AN$4-$G$4:$AQ$4)=0)))</f>
        <v>541666.66666666674</v>
      </c>
      <c r="AO81" s="22">
        <f>Hypothèses!$B$46*Hypothèses!$B$47*SUMPRODUCT($G$8:$AQ$8*((AO$4-$G$4:$AQ$4)&gt;=0)*(1-0.5*((AO$4-$G$4:$AQ$4)=0)))</f>
        <v>541666.66666666674</v>
      </c>
      <c r="AP81" s="22">
        <f>Hypothèses!$B$46*Hypothèses!$B$47*SUMPRODUCT($G$8:$AQ$8*((AP$4-$G$4:$AQ$4)&gt;=0)*(1-0.5*((AP$4-$G$4:$AQ$4)=0)))</f>
        <v>541666.66666666674</v>
      </c>
      <c r="AQ81" s="22">
        <f>Hypothèses!$B$46*Hypothèses!$B$47*SUMPRODUCT($G$8:$AQ$8*((AQ$4-$G$4:$AQ$4)&gt;=0)*(1-0.5*((AQ$4-$G$4:$AQ$4)=0)))</f>
        <v>541666.66666666674</v>
      </c>
    </row>
    <row r="82" spans="1:43" x14ac:dyDescent="0.3">
      <c r="A82" s="6" t="s">
        <v>352</v>
      </c>
      <c r="B82" s="22">
        <f>G82</f>
        <v>0</v>
      </c>
      <c r="C82" s="22">
        <f>SUM(H82:S82)</f>
        <v>21528000</v>
      </c>
      <c r="D82" s="22">
        <f>SUM(T82:AE82)</f>
        <v>22464000</v>
      </c>
      <c r="E82" s="22">
        <f>SUM(AF82:AQ82)</f>
        <v>22464000</v>
      </c>
      <c r="F82" s="22">
        <f>SUM(B82:E82)</f>
        <v>66456000</v>
      </c>
      <c r="G82" s="22">
        <f>IF(G$4&lt;Hypothèses!$B$59,0,Hypothèses!$B$57*Hypothèses!$B$60*Hypothèses!$B$47*IF(G$4=Hypothèses!$B$59,0.5,1))</f>
        <v>0</v>
      </c>
      <c r="H82" s="22">
        <f>IF(H$4&lt;Hypothèses!$B$59,0,Hypothèses!$B$57*Hypothèses!$B$60*Hypothèses!$B$47*IF(H$4=Hypothèses!$B$59,0.5,1))</f>
        <v>936000</v>
      </c>
      <c r="I82" s="22">
        <f>IF(I$4&lt;Hypothèses!$B$59,0,Hypothèses!$B$57*Hypothèses!$B$60*Hypothèses!$B$47*IF(I$4=Hypothèses!$B$59,0.5,1))</f>
        <v>1872000</v>
      </c>
      <c r="J82" s="22">
        <f>IF(J$4&lt;Hypothèses!$B$59,0,Hypothèses!$B$57*Hypothèses!$B$60*Hypothèses!$B$47*IF(J$4=Hypothèses!$B$59,0.5,1))</f>
        <v>1872000</v>
      </c>
      <c r="K82" s="22">
        <f>IF(K$4&lt;Hypothèses!$B$59,0,Hypothèses!$B$57*Hypothèses!$B$60*Hypothèses!$B$47*IF(K$4=Hypothèses!$B$59,0.5,1))</f>
        <v>1872000</v>
      </c>
      <c r="L82" s="22">
        <f>IF(L$4&lt;Hypothèses!$B$59,0,Hypothèses!$B$57*Hypothèses!$B$60*Hypothèses!$B$47*IF(L$4=Hypothèses!$B$59,0.5,1))</f>
        <v>1872000</v>
      </c>
      <c r="M82" s="22">
        <f>IF(M$4&lt;Hypothèses!$B$59,0,Hypothèses!$B$57*Hypothèses!$B$60*Hypothèses!$B$47*IF(M$4=Hypothèses!$B$59,0.5,1))</f>
        <v>1872000</v>
      </c>
      <c r="N82" s="22">
        <f>IF(N$4&lt;Hypothèses!$B$59,0,Hypothèses!$B$57*Hypothèses!$B$60*Hypothèses!$B$47*IF(N$4=Hypothèses!$B$59,0.5,1))</f>
        <v>1872000</v>
      </c>
      <c r="O82" s="22">
        <f>IF(O$4&lt;Hypothèses!$B$59,0,Hypothèses!$B$57*Hypothèses!$B$60*Hypothèses!$B$47*IF(O$4=Hypothèses!$B$59,0.5,1))</f>
        <v>1872000</v>
      </c>
      <c r="P82" s="22">
        <f>IF(P$4&lt;Hypothèses!$B$59,0,Hypothèses!$B$57*Hypothèses!$B$60*Hypothèses!$B$47*IF(P$4=Hypothèses!$B$59,0.5,1))</f>
        <v>1872000</v>
      </c>
      <c r="Q82" s="22">
        <f>IF(Q$4&lt;Hypothèses!$B$59,0,Hypothèses!$B$57*Hypothèses!$B$60*Hypothèses!$B$47*IF(Q$4=Hypothèses!$B$59,0.5,1))</f>
        <v>1872000</v>
      </c>
      <c r="R82" s="22">
        <f>IF(R$4&lt;Hypothèses!$B$59,0,Hypothèses!$B$57*Hypothèses!$B$60*Hypothèses!$B$47*IF(R$4=Hypothèses!$B$59,0.5,1))</f>
        <v>1872000</v>
      </c>
      <c r="S82" s="22">
        <f>IF(S$4&lt;Hypothèses!$B$59,0,Hypothèses!$B$57*Hypothèses!$B$60*Hypothèses!$B$47*IF(S$4=Hypothèses!$B$59,0.5,1))</f>
        <v>1872000</v>
      </c>
      <c r="T82" s="22">
        <f>IF(T$4&lt;Hypothèses!$B$59,0,Hypothèses!$B$57*Hypothèses!$B$60*Hypothèses!$B$47*IF(T$4=Hypothèses!$B$59,0.5,1))</f>
        <v>1872000</v>
      </c>
      <c r="U82" s="22">
        <f>IF(U$4&lt;Hypothèses!$B$59,0,Hypothèses!$B$57*Hypothèses!$B$60*Hypothèses!$B$47*IF(U$4=Hypothèses!$B$59,0.5,1))</f>
        <v>1872000</v>
      </c>
      <c r="V82" s="22">
        <f>IF(V$4&lt;Hypothèses!$B$59,0,Hypothèses!$B$57*Hypothèses!$B$60*Hypothèses!$B$47*IF(V$4=Hypothèses!$B$59,0.5,1))</f>
        <v>1872000</v>
      </c>
      <c r="W82" s="22">
        <f>IF(W$4&lt;Hypothèses!$B$59,0,Hypothèses!$B$57*Hypothèses!$B$60*Hypothèses!$B$47*IF(W$4=Hypothèses!$B$59,0.5,1))</f>
        <v>1872000</v>
      </c>
      <c r="X82" s="22">
        <f>IF(X$4&lt;Hypothèses!$B$59,0,Hypothèses!$B$57*Hypothèses!$B$60*Hypothèses!$B$47*IF(X$4=Hypothèses!$B$59,0.5,1))</f>
        <v>1872000</v>
      </c>
      <c r="Y82" s="22">
        <f>IF(Y$4&lt;Hypothèses!$B$59,0,Hypothèses!$B$57*Hypothèses!$B$60*Hypothèses!$B$47*IF(Y$4=Hypothèses!$B$59,0.5,1))</f>
        <v>1872000</v>
      </c>
      <c r="Z82" s="22">
        <f>IF(Z$4&lt;Hypothèses!$B$59,0,Hypothèses!$B$57*Hypothèses!$B$60*Hypothèses!$B$47*IF(Z$4=Hypothèses!$B$59,0.5,1))</f>
        <v>1872000</v>
      </c>
      <c r="AA82" s="22">
        <f>IF(AA$4&lt;Hypothèses!$B$59,0,Hypothèses!$B$57*Hypothèses!$B$60*Hypothèses!$B$47*IF(AA$4=Hypothèses!$B$59,0.5,1))</f>
        <v>1872000</v>
      </c>
      <c r="AB82" s="22">
        <f>IF(AB$4&lt;Hypothèses!$B$59,0,Hypothèses!$B$57*Hypothèses!$B$60*Hypothèses!$B$47*IF(AB$4=Hypothèses!$B$59,0.5,1))</f>
        <v>1872000</v>
      </c>
      <c r="AC82" s="22">
        <f>IF(AC$4&lt;Hypothèses!$B$59,0,Hypothèses!$B$57*Hypothèses!$B$60*Hypothèses!$B$47*IF(AC$4=Hypothèses!$B$59,0.5,1))</f>
        <v>1872000</v>
      </c>
      <c r="AD82" s="22">
        <f>IF(AD$4&lt;Hypothèses!$B$59,0,Hypothèses!$B$57*Hypothèses!$B$60*Hypothèses!$B$47*IF(AD$4=Hypothèses!$B$59,0.5,1))</f>
        <v>1872000</v>
      </c>
      <c r="AE82" s="22">
        <f>IF(AE$4&lt;Hypothèses!$B$59,0,Hypothèses!$B$57*Hypothèses!$B$60*Hypothèses!$B$47*IF(AE$4=Hypothèses!$B$59,0.5,1))</f>
        <v>1872000</v>
      </c>
      <c r="AF82" s="22">
        <f>IF(AF$4&lt;Hypothèses!$B$59,0,Hypothèses!$B$57*Hypothèses!$B$60*Hypothèses!$B$47*IF(AF$4=Hypothèses!$B$59,0.5,1))</f>
        <v>1872000</v>
      </c>
      <c r="AG82" s="22">
        <f>IF(AG$4&lt;Hypothèses!$B$59,0,Hypothèses!$B$57*Hypothèses!$B$60*Hypothèses!$B$47*IF(AG$4=Hypothèses!$B$59,0.5,1))</f>
        <v>1872000</v>
      </c>
      <c r="AH82" s="22">
        <f>IF(AH$4&lt;Hypothèses!$B$59,0,Hypothèses!$B$57*Hypothèses!$B$60*Hypothèses!$B$47*IF(AH$4=Hypothèses!$B$59,0.5,1))</f>
        <v>1872000</v>
      </c>
      <c r="AI82" s="22">
        <f>IF(AI$4&lt;Hypothèses!$B$59,0,Hypothèses!$B$57*Hypothèses!$B$60*Hypothèses!$B$47*IF(AI$4=Hypothèses!$B$59,0.5,1))</f>
        <v>1872000</v>
      </c>
      <c r="AJ82" s="22">
        <f>IF(AJ$4&lt;Hypothèses!$B$59,0,Hypothèses!$B$57*Hypothèses!$B$60*Hypothèses!$B$47*IF(AJ$4=Hypothèses!$B$59,0.5,1))</f>
        <v>1872000</v>
      </c>
      <c r="AK82" s="22">
        <f>IF(AK$4&lt;Hypothèses!$B$59,0,Hypothèses!$B$57*Hypothèses!$B$60*Hypothèses!$B$47*IF(AK$4=Hypothèses!$B$59,0.5,1))</f>
        <v>1872000</v>
      </c>
      <c r="AL82" s="22">
        <f>IF(AL$4&lt;Hypothèses!$B$59,0,Hypothèses!$B$57*Hypothèses!$B$60*Hypothèses!$B$47*IF(AL$4=Hypothèses!$B$59,0.5,1))</f>
        <v>1872000</v>
      </c>
      <c r="AM82" s="22">
        <f>IF(AM$4&lt;Hypothèses!$B$59,0,Hypothèses!$B$57*Hypothèses!$B$60*Hypothèses!$B$47*IF(AM$4=Hypothèses!$B$59,0.5,1))</f>
        <v>1872000</v>
      </c>
      <c r="AN82" s="22">
        <f>IF(AN$4&lt;Hypothèses!$B$59,0,Hypothèses!$B$57*Hypothèses!$B$60*Hypothèses!$B$47*IF(AN$4=Hypothèses!$B$59,0.5,1))</f>
        <v>1872000</v>
      </c>
      <c r="AO82" s="22">
        <f>IF(AO$4&lt;Hypothèses!$B$59,0,Hypothèses!$B$57*Hypothèses!$B$60*Hypothèses!$B$47*IF(AO$4=Hypothèses!$B$59,0.5,1))</f>
        <v>1872000</v>
      </c>
      <c r="AP82" s="22">
        <f>IF(AP$4&lt;Hypothèses!$B$59,0,Hypothèses!$B$57*Hypothèses!$B$60*Hypothèses!$B$47*IF(AP$4=Hypothèses!$B$59,0.5,1))</f>
        <v>1872000</v>
      </c>
      <c r="AQ82" s="22">
        <f>IF(AQ$4&lt;Hypothèses!$B$59,0,Hypothèses!$B$57*Hypothèses!$B$60*Hypothèses!$B$47*IF(AQ$4=Hypothèses!$B$59,0.5,1))</f>
        <v>1872000</v>
      </c>
    </row>
    <row r="83" spans="1:43" x14ac:dyDescent="0.3">
      <c r="A83" s="6" t="s">
        <v>353</v>
      </c>
      <c r="B83" s="22">
        <f>G83</f>
        <v>0</v>
      </c>
      <c r="C83" s="22">
        <f>SUM(H83:S83)</f>
        <v>13455000</v>
      </c>
      <c r="D83" s="22">
        <f>SUM(T83:AE83)</f>
        <v>14040000</v>
      </c>
      <c r="E83" s="22">
        <f>SUM(AF83:AQ83)</f>
        <v>14040000</v>
      </c>
      <c r="F83" s="22">
        <f>SUM(B83:E83)</f>
        <v>41535000</v>
      </c>
      <c r="G83" s="22">
        <f>IF(G$4&lt;Hypothèses!$B$59,0,Hypothèses!$B$58*Hypothèses!$B$61*Hypothèses!$B$47*IF(G$4=Hypothèses!$B$59,0.5,1))</f>
        <v>0</v>
      </c>
      <c r="H83" s="22">
        <f>IF(H$4&lt;Hypothèses!$B$59,0,Hypothèses!$B$58*Hypothèses!$B$61*Hypothèses!$B$47*IF(H$4=Hypothèses!$B$59,0.5,1))</f>
        <v>585000</v>
      </c>
      <c r="I83" s="22">
        <f>IF(I$4&lt;Hypothèses!$B$59,0,Hypothèses!$B$58*Hypothèses!$B$61*Hypothèses!$B$47*IF(I$4=Hypothèses!$B$59,0.5,1))</f>
        <v>1170000</v>
      </c>
      <c r="J83" s="22">
        <f>IF(J$4&lt;Hypothèses!$B$59,0,Hypothèses!$B$58*Hypothèses!$B$61*Hypothèses!$B$47*IF(J$4=Hypothèses!$B$59,0.5,1))</f>
        <v>1170000</v>
      </c>
      <c r="K83" s="22">
        <f>IF(K$4&lt;Hypothèses!$B$59,0,Hypothèses!$B$58*Hypothèses!$B$61*Hypothèses!$B$47*IF(K$4=Hypothèses!$B$59,0.5,1))</f>
        <v>1170000</v>
      </c>
      <c r="L83" s="22">
        <f>IF(L$4&lt;Hypothèses!$B$59,0,Hypothèses!$B$58*Hypothèses!$B$61*Hypothèses!$B$47*IF(L$4=Hypothèses!$B$59,0.5,1))</f>
        <v>1170000</v>
      </c>
      <c r="M83" s="22">
        <f>IF(M$4&lt;Hypothèses!$B$59,0,Hypothèses!$B$58*Hypothèses!$B$61*Hypothèses!$B$47*IF(M$4=Hypothèses!$B$59,0.5,1))</f>
        <v>1170000</v>
      </c>
      <c r="N83" s="22">
        <f>IF(N$4&lt;Hypothèses!$B$59,0,Hypothèses!$B$58*Hypothèses!$B$61*Hypothèses!$B$47*IF(N$4=Hypothèses!$B$59,0.5,1))</f>
        <v>1170000</v>
      </c>
      <c r="O83" s="22">
        <f>IF(O$4&lt;Hypothèses!$B$59,0,Hypothèses!$B$58*Hypothèses!$B$61*Hypothèses!$B$47*IF(O$4=Hypothèses!$B$59,0.5,1))</f>
        <v>1170000</v>
      </c>
      <c r="P83" s="22">
        <f>IF(P$4&lt;Hypothèses!$B$59,0,Hypothèses!$B$58*Hypothèses!$B$61*Hypothèses!$B$47*IF(P$4=Hypothèses!$B$59,0.5,1))</f>
        <v>1170000</v>
      </c>
      <c r="Q83" s="22">
        <f>IF(Q$4&lt;Hypothèses!$B$59,0,Hypothèses!$B$58*Hypothèses!$B$61*Hypothèses!$B$47*IF(Q$4=Hypothèses!$B$59,0.5,1))</f>
        <v>1170000</v>
      </c>
      <c r="R83" s="22">
        <f>IF(R$4&lt;Hypothèses!$B$59,0,Hypothèses!$B$58*Hypothèses!$B$61*Hypothèses!$B$47*IF(R$4=Hypothèses!$B$59,0.5,1))</f>
        <v>1170000</v>
      </c>
      <c r="S83" s="22">
        <f>IF(S$4&lt;Hypothèses!$B$59,0,Hypothèses!$B$58*Hypothèses!$B$61*Hypothèses!$B$47*IF(S$4=Hypothèses!$B$59,0.5,1))</f>
        <v>1170000</v>
      </c>
      <c r="T83" s="22">
        <f>IF(T$4&lt;Hypothèses!$B$59,0,Hypothèses!$B$58*Hypothèses!$B$61*Hypothèses!$B$47*IF(T$4=Hypothèses!$B$59,0.5,1))</f>
        <v>1170000</v>
      </c>
      <c r="U83" s="22">
        <f>IF(U$4&lt;Hypothèses!$B$59,0,Hypothèses!$B$58*Hypothèses!$B$61*Hypothèses!$B$47*IF(U$4=Hypothèses!$B$59,0.5,1))</f>
        <v>1170000</v>
      </c>
      <c r="V83" s="22">
        <f>IF(V$4&lt;Hypothèses!$B$59,0,Hypothèses!$B$58*Hypothèses!$B$61*Hypothèses!$B$47*IF(V$4=Hypothèses!$B$59,0.5,1))</f>
        <v>1170000</v>
      </c>
      <c r="W83" s="22">
        <f>IF(W$4&lt;Hypothèses!$B$59,0,Hypothèses!$B$58*Hypothèses!$B$61*Hypothèses!$B$47*IF(W$4=Hypothèses!$B$59,0.5,1))</f>
        <v>1170000</v>
      </c>
      <c r="X83" s="22">
        <f>IF(X$4&lt;Hypothèses!$B$59,0,Hypothèses!$B$58*Hypothèses!$B$61*Hypothèses!$B$47*IF(X$4=Hypothèses!$B$59,0.5,1))</f>
        <v>1170000</v>
      </c>
      <c r="Y83" s="22">
        <f>IF(Y$4&lt;Hypothèses!$B$59,0,Hypothèses!$B$58*Hypothèses!$B$61*Hypothèses!$B$47*IF(Y$4=Hypothèses!$B$59,0.5,1))</f>
        <v>1170000</v>
      </c>
      <c r="Z83" s="22">
        <f>IF(Z$4&lt;Hypothèses!$B$59,0,Hypothèses!$B$58*Hypothèses!$B$61*Hypothèses!$B$47*IF(Z$4=Hypothèses!$B$59,0.5,1))</f>
        <v>1170000</v>
      </c>
      <c r="AA83" s="22">
        <f>IF(AA$4&lt;Hypothèses!$B$59,0,Hypothèses!$B$58*Hypothèses!$B$61*Hypothèses!$B$47*IF(AA$4=Hypothèses!$B$59,0.5,1))</f>
        <v>1170000</v>
      </c>
      <c r="AB83" s="22">
        <f>IF(AB$4&lt;Hypothèses!$B$59,0,Hypothèses!$B$58*Hypothèses!$B$61*Hypothèses!$B$47*IF(AB$4=Hypothèses!$B$59,0.5,1))</f>
        <v>1170000</v>
      </c>
      <c r="AC83" s="22">
        <f>IF(AC$4&lt;Hypothèses!$B$59,0,Hypothèses!$B$58*Hypothèses!$B$61*Hypothèses!$B$47*IF(AC$4=Hypothèses!$B$59,0.5,1))</f>
        <v>1170000</v>
      </c>
      <c r="AD83" s="22">
        <f>IF(AD$4&lt;Hypothèses!$B$59,0,Hypothèses!$B$58*Hypothèses!$B$61*Hypothèses!$B$47*IF(AD$4=Hypothèses!$B$59,0.5,1))</f>
        <v>1170000</v>
      </c>
      <c r="AE83" s="22">
        <f>IF(AE$4&lt;Hypothèses!$B$59,0,Hypothèses!$B$58*Hypothèses!$B$61*Hypothèses!$B$47*IF(AE$4=Hypothèses!$B$59,0.5,1))</f>
        <v>1170000</v>
      </c>
      <c r="AF83" s="22">
        <f>IF(AF$4&lt;Hypothèses!$B$59,0,Hypothèses!$B$58*Hypothèses!$B$61*Hypothèses!$B$47*IF(AF$4=Hypothèses!$B$59,0.5,1))</f>
        <v>1170000</v>
      </c>
      <c r="AG83" s="22">
        <f>IF(AG$4&lt;Hypothèses!$B$59,0,Hypothèses!$B$58*Hypothèses!$B$61*Hypothèses!$B$47*IF(AG$4=Hypothèses!$B$59,0.5,1))</f>
        <v>1170000</v>
      </c>
      <c r="AH83" s="22">
        <f>IF(AH$4&lt;Hypothèses!$B$59,0,Hypothèses!$B$58*Hypothèses!$B$61*Hypothèses!$B$47*IF(AH$4=Hypothèses!$B$59,0.5,1))</f>
        <v>1170000</v>
      </c>
      <c r="AI83" s="22">
        <f>IF(AI$4&lt;Hypothèses!$B$59,0,Hypothèses!$B$58*Hypothèses!$B$61*Hypothèses!$B$47*IF(AI$4=Hypothèses!$B$59,0.5,1))</f>
        <v>1170000</v>
      </c>
      <c r="AJ83" s="22">
        <f>IF(AJ$4&lt;Hypothèses!$B$59,0,Hypothèses!$B$58*Hypothèses!$B$61*Hypothèses!$B$47*IF(AJ$4=Hypothèses!$B$59,0.5,1))</f>
        <v>1170000</v>
      </c>
      <c r="AK83" s="22">
        <f>IF(AK$4&lt;Hypothèses!$B$59,0,Hypothèses!$B$58*Hypothèses!$B$61*Hypothèses!$B$47*IF(AK$4=Hypothèses!$B$59,0.5,1))</f>
        <v>1170000</v>
      </c>
      <c r="AL83" s="22">
        <f>IF(AL$4&lt;Hypothèses!$B$59,0,Hypothèses!$B$58*Hypothèses!$B$61*Hypothèses!$B$47*IF(AL$4=Hypothèses!$B$59,0.5,1))</f>
        <v>1170000</v>
      </c>
      <c r="AM83" s="22">
        <f>IF(AM$4&lt;Hypothèses!$B$59,0,Hypothèses!$B$58*Hypothèses!$B$61*Hypothèses!$B$47*IF(AM$4=Hypothèses!$B$59,0.5,1))</f>
        <v>1170000</v>
      </c>
      <c r="AN83" s="22">
        <f>IF(AN$4&lt;Hypothèses!$B$59,0,Hypothèses!$B$58*Hypothèses!$B$61*Hypothèses!$B$47*IF(AN$4=Hypothèses!$B$59,0.5,1))</f>
        <v>1170000</v>
      </c>
      <c r="AO83" s="22">
        <f>IF(AO$4&lt;Hypothèses!$B$59,0,Hypothèses!$B$58*Hypothèses!$B$61*Hypothèses!$B$47*IF(AO$4=Hypothèses!$B$59,0.5,1))</f>
        <v>1170000</v>
      </c>
      <c r="AP83" s="22">
        <f>IF(AP$4&lt;Hypothèses!$B$59,0,Hypothèses!$B$58*Hypothèses!$B$61*Hypothèses!$B$47*IF(AP$4=Hypothèses!$B$59,0.5,1))</f>
        <v>1170000</v>
      </c>
      <c r="AQ83" s="22">
        <f>IF(AQ$4&lt;Hypothèses!$B$59,0,Hypothèses!$B$58*Hypothèses!$B$61*Hypothèses!$B$47*IF(AQ$4=Hypothèses!$B$59,0.5,1))</f>
        <v>1170000</v>
      </c>
    </row>
    <row r="84" spans="1:43" x14ac:dyDescent="0.3">
      <c r="A84" s="10" t="s">
        <v>354</v>
      </c>
      <c r="B84" s="24">
        <f>G84</f>
        <v>0</v>
      </c>
      <c r="C84" s="24">
        <f>SUM(H84:S84)</f>
        <v>43703833.333333336</v>
      </c>
      <c r="D84" s="24">
        <f>SUM(T84:AE84)</f>
        <v>45604000.000000007</v>
      </c>
      <c r="E84" s="24">
        <f>SUM(AF84:AQ84)</f>
        <v>45604000.000000007</v>
      </c>
      <c r="F84" s="24">
        <f>SUM(B84:E84)</f>
        <v>134911833.33333334</v>
      </c>
      <c r="G84" s="24">
        <f t="shared" ref="G84:AQ84" si="29">SUM(G80:G83)</f>
        <v>0</v>
      </c>
      <c r="H84" s="24">
        <f t="shared" si="29"/>
        <v>1900166.6666666667</v>
      </c>
      <c r="I84" s="24">
        <f t="shared" si="29"/>
        <v>3800333.3333333335</v>
      </c>
      <c r="J84" s="24">
        <f t="shared" si="29"/>
        <v>3800333.3333333335</v>
      </c>
      <c r="K84" s="24">
        <f t="shared" si="29"/>
        <v>3800333.3333333335</v>
      </c>
      <c r="L84" s="24">
        <f t="shared" si="29"/>
        <v>3800333.3333333335</v>
      </c>
      <c r="M84" s="24">
        <f t="shared" si="29"/>
        <v>3800333.3333333335</v>
      </c>
      <c r="N84" s="24">
        <f t="shared" si="29"/>
        <v>3800333.3333333335</v>
      </c>
      <c r="O84" s="24">
        <f t="shared" si="29"/>
        <v>3800333.3333333335</v>
      </c>
      <c r="P84" s="24">
        <f t="shared" si="29"/>
        <v>3800333.3333333335</v>
      </c>
      <c r="Q84" s="24">
        <f t="shared" si="29"/>
        <v>3800333.3333333335</v>
      </c>
      <c r="R84" s="24">
        <f t="shared" si="29"/>
        <v>3800333.3333333335</v>
      </c>
      <c r="S84" s="24">
        <f t="shared" si="29"/>
        <v>3800333.3333333335</v>
      </c>
      <c r="T84" s="24">
        <f t="shared" si="29"/>
        <v>3800333.3333333335</v>
      </c>
      <c r="U84" s="24">
        <f t="shared" si="29"/>
        <v>3800333.3333333335</v>
      </c>
      <c r="V84" s="24">
        <f t="shared" si="29"/>
        <v>3800333.3333333335</v>
      </c>
      <c r="W84" s="24">
        <f t="shared" si="29"/>
        <v>3800333.3333333335</v>
      </c>
      <c r="X84" s="24">
        <f t="shared" si="29"/>
        <v>3800333.3333333335</v>
      </c>
      <c r="Y84" s="24">
        <f t="shared" si="29"/>
        <v>3800333.3333333335</v>
      </c>
      <c r="Z84" s="24">
        <f t="shared" si="29"/>
        <v>3800333.3333333335</v>
      </c>
      <c r="AA84" s="24">
        <f t="shared" si="29"/>
        <v>3800333.3333333335</v>
      </c>
      <c r="AB84" s="24">
        <f t="shared" si="29"/>
        <v>3800333.3333333335</v>
      </c>
      <c r="AC84" s="24">
        <f t="shared" si="29"/>
        <v>3800333.3333333335</v>
      </c>
      <c r="AD84" s="24">
        <f t="shared" si="29"/>
        <v>3800333.3333333335</v>
      </c>
      <c r="AE84" s="24">
        <f t="shared" si="29"/>
        <v>3800333.3333333335</v>
      </c>
      <c r="AF84" s="24">
        <f t="shared" si="29"/>
        <v>3800333.3333333335</v>
      </c>
      <c r="AG84" s="24">
        <f t="shared" si="29"/>
        <v>3800333.3333333335</v>
      </c>
      <c r="AH84" s="24">
        <f t="shared" si="29"/>
        <v>3800333.3333333335</v>
      </c>
      <c r="AI84" s="24">
        <f t="shared" si="29"/>
        <v>3800333.3333333335</v>
      </c>
      <c r="AJ84" s="24">
        <f t="shared" si="29"/>
        <v>3800333.3333333335</v>
      </c>
      <c r="AK84" s="24">
        <f t="shared" si="29"/>
        <v>3800333.3333333335</v>
      </c>
      <c r="AL84" s="24">
        <f t="shared" si="29"/>
        <v>3800333.3333333335</v>
      </c>
      <c r="AM84" s="24">
        <f t="shared" si="29"/>
        <v>3800333.3333333335</v>
      </c>
      <c r="AN84" s="24">
        <f t="shared" si="29"/>
        <v>3800333.3333333335</v>
      </c>
      <c r="AO84" s="24">
        <f t="shared" si="29"/>
        <v>3800333.3333333335</v>
      </c>
      <c r="AP84" s="24">
        <f t="shared" si="29"/>
        <v>3800333.3333333335</v>
      </c>
      <c r="AQ84" s="24">
        <f t="shared" si="29"/>
        <v>3800333.3333333335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showGridLines="0" workbookViewId="0">
      <pane xSplit="1" ySplit="4" topLeftCell="B52" activePane="bottomRight" state="frozen"/>
      <selection pane="topRight"/>
      <selection pane="bottomLeft"/>
      <selection pane="bottomRight"/>
    </sheetView>
  </sheetViews>
  <sheetFormatPr baseColWidth="10" defaultColWidth="8.88671875" defaultRowHeight="14.4" x14ac:dyDescent="0.3"/>
  <cols>
    <col min="1" max="1" width="88" customWidth="1"/>
    <col min="2" max="6" width="17" customWidth="1"/>
  </cols>
  <sheetData>
    <row r="1" spans="1:6" ht="17.399999999999999" customHeight="1" x14ac:dyDescent="0.3">
      <c r="A1" s="1" t="s">
        <v>355</v>
      </c>
    </row>
    <row r="2" spans="1:6" x14ac:dyDescent="0.3">
      <c r="A2" s="2" t="s">
        <v>356</v>
      </c>
    </row>
    <row r="4" spans="1:6" ht="28.05" customHeight="1" x14ac:dyDescent="0.3">
      <c r="A4" s="3" t="s">
        <v>170</v>
      </c>
      <c r="B4" s="3" t="s">
        <v>61</v>
      </c>
      <c r="C4" s="3" t="s">
        <v>3</v>
      </c>
      <c r="D4" s="3" t="s">
        <v>4</v>
      </c>
      <c r="E4" s="3" t="s">
        <v>5</v>
      </c>
      <c r="F4" s="3" t="s">
        <v>6</v>
      </c>
    </row>
    <row r="5" spans="1:6" x14ac:dyDescent="0.3">
      <c r="A5" s="4" t="s">
        <v>357</v>
      </c>
      <c r="B5" s="5"/>
      <c r="C5" s="5"/>
      <c r="D5" s="5"/>
      <c r="E5" s="5"/>
      <c r="F5" s="5"/>
    </row>
    <row r="6" spans="1:6" x14ac:dyDescent="0.3">
      <c r="A6" s="6" t="s">
        <v>62</v>
      </c>
      <c r="B6" s="7">
        <f>Mensuel!B13</f>
        <v>1500000</v>
      </c>
      <c r="C6" s="7">
        <f>Mensuel!C13</f>
        <v>0</v>
      </c>
      <c r="D6" s="7">
        <f>Mensuel!D13</f>
        <v>0</v>
      </c>
      <c r="E6" s="7">
        <f>Mensuel!E13</f>
        <v>0</v>
      </c>
      <c r="F6" s="7">
        <f>Mensuel!F13</f>
        <v>1500000</v>
      </c>
    </row>
    <row r="7" spans="1:6" x14ac:dyDescent="0.3">
      <c r="A7" s="6" t="s">
        <v>64</v>
      </c>
      <c r="B7" s="7">
        <f>Mensuel!B14</f>
        <v>300000</v>
      </c>
      <c r="C7" s="7">
        <f>Mensuel!C14</f>
        <v>0</v>
      </c>
      <c r="D7" s="7">
        <f>Mensuel!D14</f>
        <v>0</v>
      </c>
      <c r="E7" s="7">
        <f>Mensuel!E14</f>
        <v>0</v>
      </c>
      <c r="F7" s="7">
        <f>Mensuel!F14</f>
        <v>300000</v>
      </c>
    </row>
    <row r="8" spans="1:6" x14ac:dyDescent="0.3">
      <c r="A8" s="6" t="s">
        <v>65</v>
      </c>
      <c r="B8" s="7">
        <f>Mensuel!B15</f>
        <v>100000</v>
      </c>
      <c r="C8" s="7">
        <f>Mensuel!C15</f>
        <v>0</v>
      </c>
      <c r="D8" s="7">
        <f>Mensuel!D15</f>
        <v>0</v>
      </c>
      <c r="E8" s="7">
        <f>Mensuel!E15</f>
        <v>0</v>
      </c>
      <c r="F8" s="7">
        <f>Mensuel!F15</f>
        <v>100000</v>
      </c>
    </row>
    <row r="9" spans="1:6" x14ac:dyDescent="0.3">
      <c r="A9" s="6" t="s">
        <v>66</v>
      </c>
      <c r="B9" s="7">
        <f>Mensuel!B16</f>
        <v>500000</v>
      </c>
      <c r="C9" s="7">
        <f>Mensuel!C16</f>
        <v>0</v>
      </c>
      <c r="D9" s="7">
        <f>Mensuel!D16</f>
        <v>0</v>
      </c>
      <c r="E9" s="7">
        <f>Mensuel!E16</f>
        <v>0</v>
      </c>
      <c r="F9" s="7">
        <f>Mensuel!F16</f>
        <v>500000</v>
      </c>
    </row>
    <row r="10" spans="1:6" x14ac:dyDescent="0.3">
      <c r="A10" s="6" t="s">
        <v>67</v>
      </c>
      <c r="B10" s="7">
        <f>Mensuel!B17</f>
        <v>1000000</v>
      </c>
      <c r="C10" s="7">
        <f>Mensuel!C17</f>
        <v>0</v>
      </c>
      <c r="D10" s="7">
        <f>Mensuel!D17</f>
        <v>0</v>
      </c>
      <c r="E10" s="7">
        <f>Mensuel!E17</f>
        <v>0</v>
      </c>
      <c r="F10" s="7">
        <f>Mensuel!F17</f>
        <v>1000000</v>
      </c>
    </row>
    <row r="11" spans="1:6" x14ac:dyDescent="0.3">
      <c r="A11" s="6" t="s">
        <v>68</v>
      </c>
      <c r="B11" s="7">
        <f>Mensuel!B18</f>
        <v>1000000</v>
      </c>
      <c r="C11" s="7">
        <f>Mensuel!C18</f>
        <v>0</v>
      </c>
      <c r="D11" s="7">
        <f>Mensuel!D18</f>
        <v>0</v>
      </c>
      <c r="E11" s="7">
        <f>Mensuel!E18</f>
        <v>0</v>
      </c>
      <c r="F11" s="7">
        <f>Mensuel!F18</f>
        <v>1000000</v>
      </c>
    </row>
    <row r="12" spans="1:6" x14ac:dyDescent="0.3">
      <c r="A12" s="6" t="s">
        <v>69</v>
      </c>
      <c r="B12" s="7">
        <f>Mensuel!B19</f>
        <v>150000</v>
      </c>
      <c r="C12" s="7">
        <f>Mensuel!C19</f>
        <v>0</v>
      </c>
      <c r="D12" s="7">
        <f>Mensuel!D19</f>
        <v>0</v>
      </c>
      <c r="E12" s="7">
        <f>Mensuel!E19</f>
        <v>0</v>
      </c>
      <c r="F12" s="7">
        <f>Mensuel!F19</f>
        <v>150000</v>
      </c>
    </row>
    <row r="13" spans="1:6" x14ac:dyDescent="0.3">
      <c r="A13" s="8" t="s">
        <v>358</v>
      </c>
      <c r="B13" s="9">
        <f>Mensuel!B20</f>
        <v>4550000</v>
      </c>
      <c r="C13" s="9">
        <f>Mensuel!C20</f>
        <v>0</v>
      </c>
      <c r="D13" s="9">
        <f>Mensuel!D20</f>
        <v>0</v>
      </c>
      <c r="E13" s="9">
        <f>Mensuel!E20</f>
        <v>0</v>
      </c>
      <c r="F13" s="9">
        <f>Mensuel!F20</f>
        <v>4550000</v>
      </c>
    </row>
    <row r="15" spans="1:6" x14ac:dyDescent="0.3">
      <c r="A15" s="4" t="s">
        <v>359</v>
      </c>
      <c r="B15" s="5"/>
      <c r="C15" s="5"/>
      <c r="D15" s="5"/>
      <c r="E15" s="5"/>
      <c r="F15" s="5"/>
    </row>
    <row r="16" spans="1:6" x14ac:dyDescent="0.3">
      <c r="A16" s="6" t="s">
        <v>71</v>
      </c>
      <c r="B16" s="7">
        <f>Mensuel!B23</f>
        <v>0</v>
      </c>
      <c r="C16" s="7">
        <f>Mensuel!C23</f>
        <v>1200000</v>
      </c>
      <c r="D16" s="7">
        <f>Mensuel!D23</f>
        <v>1200000</v>
      </c>
      <c r="E16" s="7">
        <f>Mensuel!E23</f>
        <v>1200000</v>
      </c>
      <c r="F16" s="7">
        <f>Mensuel!F23</f>
        <v>3600000</v>
      </c>
    </row>
    <row r="17" spans="1:6" x14ac:dyDescent="0.3">
      <c r="A17" s="6" t="s">
        <v>73</v>
      </c>
      <c r="B17" s="7">
        <f>Mensuel!B24</f>
        <v>0</v>
      </c>
      <c r="C17" s="7">
        <f>Mensuel!C24</f>
        <v>900000</v>
      </c>
      <c r="D17" s="7">
        <f>Mensuel!D24</f>
        <v>900000</v>
      </c>
      <c r="E17" s="7">
        <f>Mensuel!E24</f>
        <v>900000</v>
      </c>
      <c r="F17" s="7">
        <f>Mensuel!F24</f>
        <v>2700000</v>
      </c>
    </row>
    <row r="18" spans="1:6" x14ac:dyDescent="0.3">
      <c r="A18" s="6" t="s">
        <v>75</v>
      </c>
      <c r="B18" s="7">
        <f>Mensuel!B25</f>
        <v>0</v>
      </c>
      <c r="C18" s="7">
        <f>Mensuel!C25</f>
        <v>0</v>
      </c>
      <c r="D18" s="7">
        <f>Mensuel!D25</f>
        <v>2400000</v>
      </c>
      <c r="E18" s="7">
        <f>Mensuel!E25</f>
        <v>2400000</v>
      </c>
      <c r="F18" s="7">
        <f>Mensuel!F25</f>
        <v>4800000</v>
      </c>
    </row>
    <row r="19" spans="1:6" x14ac:dyDescent="0.3">
      <c r="A19" s="6" t="s">
        <v>78</v>
      </c>
      <c r="B19" s="7">
        <f>Mensuel!B26</f>
        <v>0</v>
      </c>
      <c r="C19" s="7">
        <f>Mensuel!C26</f>
        <v>900000</v>
      </c>
      <c r="D19" s="7">
        <f>Mensuel!D26</f>
        <v>0</v>
      </c>
      <c r="E19" s="7">
        <f>Mensuel!E26</f>
        <v>0</v>
      </c>
      <c r="F19" s="7">
        <f>Mensuel!F26</f>
        <v>900000</v>
      </c>
    </row>
    <row r="20" spans="1:6" x14ac:dyDescent="0.3">
      <c r="A20" s="6" t="s">
        <v>80</v>
      </c>
      <c r="B20" s="7">
        <f>Mensuel!B27</f>
        <v>0</v>
      </c>
      <c r="C20" s="7">
        <f>Mensuel!C27</f>
        <v>1200000</v>
      </c>
      <c r="D20" s="7">
        <f>Mensuel!D27</f>
        <v>1200000</v>
      </c>
      <c r="E20" s="7">
        <f>Mensuel!E27</f>
        <v>1200000</v>
      </c>
      <c r="F20" s="7">
        <f>Mensuel!F27</f>
        <v>3600000</v>
      </c>
    </row>
    <row r="21" spans="1:6" x14ac:dyDescent="0.3">
      <c r="A21" s="6" t="s">
        <v>81</v>
      </c>
      <c r="B21" s="7">
        <f>Mensuel!B28</f>
        <v>0</v>
      </c>
      <c r="C21" s="7">
        <f>Mensuel!C28</f>
        <v>600000</v>
      </c>
      <c r="D21" s="7">
        <f>Mensuel!D28</f>
        <v>600000</v>
      </c>
      <c r="E21" s="7">
        <f>Mensuel!E28</f>
        <v>600000</v>
      </c>
      <c r="F21" s="7">
        <f>Mensuel!F28</f>
        <v>1800000</v>
      </c>
    </row>
    <row r="22" spans="1:6" x14ac:dyDescent="0.3">
      <c r="A22" s="6" t="s">
        <v>82</v>
      </c>
      <c r="B22" s="7">
        <f>Mensuel!B29</f>
        <v>0</v>
      </c>
      <c r="C22" s="7">
        <f>Mensuel!C29</f>
        <v>600000</v>
      </c>
      <c r="D22" s="7">
        <f>Mensuel!D29</f>
        <v>600000</v>
      </c>
      <c r="E22" s="7">
        <f>Mensuel!E29</f>
        <v>600000</v>
      </c>
      <c r="F22" s="7">
        <f>Mensuel!F29</f>
        <v>1800000</v>
      </c>
    </row>
    <row r="23" spans="1:6" x14ac:dyDescent="0.3">
      <c r="A23" s="6" t="s">
        <v>360</v>
      </c>
      <c r="B23" s="7">
        <f>Mensuel!B30</f>
        <v>0</v>
      </c>
      <c r="C23" s="7">
        <f>Mensuel!C30</f>
        <v>300000</v>
      </c>
      <c r="D23" s="7">
        <f>Mensuel!D30</f>
        <v>300000</v>
      </c>
      <c r="E23" s="7">
        <f>Mensuel!E30</f>
        <v>300000</v>
      </c>
      <c r="F23" s="7">
        <f>Mensuel!F30</f>
        <v>900000</v>
      </c>
    </row>
    <row r="24" spans="1:6" x14ac:dyDescent="0.3">
      <c r="A24" s="6" t="s">
        <v>361</v>
      </c>
      <c r="B24" s="7">
        <f>Mensuel!B31</f>
        <v>0</v>
      </c>
      <c r="C24" s="7">
        <f>Mensuel!C31</f>
        <v>200000</v>
      </c>
      <c r="D24" s="7">
        <f>Mensuel!D31</f>
        <v>200000</v>
      </c>
      <c r="E24" s="7">
        <f>Mensuel!E31</f>
        <v>200000</v>
      </c>
      <c r="F24" s="7">
        <f>Mensuel!F31</f>
        <v>600000</v>
      </c>
    </row>
    <row r="25" spans="1:6" x14ac:dyDescent="0.3">
      <c r="A25" s="6" t="s">
        <v>318</v>
      </c>
      <c r="B25" s="7">
        <f>Mensuel!B32</f>
        <v>0</v>
      </c>
      <c r="C25" s="7">
        <f>Mensuel!C32</f>
        <v>600000</v>
      </c>
      <c r="D25" s="7">
        <f>Mensuel!D32</f>
        <v>0</v>
      </c>
      <c r="E25" s="7">
        <f>Mensuel!E32</f>
        <v>0</v>
      </c>
      <c r="F25" s="7">
        <f>Mensuel!F32</f>
        <v>600000</v>
      </c>
    </row>
    <row r="26" spans="1:6" x14ac:dyDescent="0.3">
      <c r="A26" s="6" t="s">
        <v>258</v>
      </c>
      <c r="B26" s="7">
        <f>Mensuel!B33</f>
        <v>0</v>
      </c>
      <c r="C26" s="7">
        <f>Mensuel!C33</f>
        <v>1368120</v>
      </c>
      <c r="D26" s="7">
        <f>Mensuel!D33</f>
        <v>1368120</v>
      </c>
      <c r="E26" s="7">
        <f>Mensuel!E33</f>
        <v>1368120</v>
      </c>
      <c r="F26" s="7">
        <f>Mensuel!F33</f>
        <v>4104360</v>
      </c>
    </row>
    <row r="27" spans="1:6" x14ac:dyDescent="0.3">
      <c r="A27" s="6" t="s">
        <v>362</v>
      </c>
      <c r="B27" s="7">
        <f>Mensuel!B34</f>
        <v>0</v>
      </c>
      <c r="C27" s="7">
        <f>Mensuel!C34</f>
        <v>0</v>
      </c>
      <c r="D27" s="7">
        <f>Mensuel!D34</f>
        <v>280000</v>
      </c>
      <c r="E27" s="7">
        <f>Mensuel!E34</f>
        <v>280000</v>
      </c>
      <c r="F27" s="7">
        <f>Mensuel!F34</f>
        <v>560000</v>
      </c>
    </row>
    <row r="28" spans="1:6" x14ac:dyDescent="0.3">
      <c r="A28" s="6" t="s">
        <v>363</v>
      </c>
      <c r="B28" s="7">
        <f>Mensuel!B35</f>
        <v>0</v>
      </c>
      <c r="C28" s="7">
        <f>Mensuel!C35</f>
        <v>0</v>
      </c>
      <c r="D28" s="7">
        <f>Mensuel!D35</f>
        <v>254000</v>
      </c>
      <c r="E28" s="7">
        <f>Mensuel!E35</f>
        <v>254000</v>
      </c>
      <c r="F28" s="7">
        <f>Mensuel!F35</f>
        <v>508000</v>
      </c>
    </row>
    <row r="29" spans="1:6" x14ac:dyDescent="0.3">
      <c r="A29" s="6" t="s">
        <v>364</v>
      </c>
      <c r="B29" s="7">
        <f>Mensuel!B36</f>
        <v>0</v>
      </c>
      <c r="C29" s="7">
        <f>Mensuel!C36</f>
        <v>0</v>
      </c>
      <c r="D29" s="7">
        <f>Mensuel!D36</f>
        <v>172000</v>
      </c>
      <c r="E29" s="7">
        <f>Mensuel!E36</f>
        <v>172000</v>
      </c>
      <c r="F29" s="7">
        <f>Mensuel!F36</f>
        <v>344000</v>
      </c>
    </row>
    <row r="30" spans="1:6" x14ac:dyDescent="0.3">
      <c r="A30" s="6" t="s">
        <v>322</v>
      </c>
      <c r="B30" s="7">
        <f>Mensuel!B37</f>
        <v>0</v>
      </c>
      <c r="C30" s="7">
        <f>Mensuel!C37</f>
        <v>0</v>
      </c>
      <c r="D30" s="7">
        <f>Mensuel!D37</f>
        <v>900000</v>
      </c>
      <c r="E30" s="7">
        <f>Mensuel!E37</f>
        <v>0</v>
      </c>
      <c r="F30" s="7">
        <f>Mensuel!F37</f>
        <v>900000</v>
      </c>
    </row>
    <row r="31" spans="1:6" x14ac:dyDescent="0.3">
      <c r="A31" s="6" t="s">
        <v>323</v>
      </c>
      <c r="B31" s="7">
        <f>Mensuel!B38</f>
        <v>0</v>
      </c>
      <c r="C31" s="7">
        <f>Mensuel!C38</f>
        <v>78750</v>
      </c>
      <c r="D31" s="7">
        <f>Mensuel!D38</f>
        <v>78750</v>
      </c>
      <c r="E31" s="7">
        <f>Mensuel!E38</f>
        <v>78750</v>
      </c>
      <c r="F31" s="7">
        <f>Mensuel!F38</f>
        <v>236250</v>
      </c>
    </row>
    <row r="32" spans="1:6" x14ac:dyDescent="0.3">
      <c r="A32" s="8" t="s">
        <v>365</v>
      </c>
      <c r="B32" s="9">
        <f>Mensuel!B39</f>
        <v>0</v>
      </c>
      <c r="C32" s="9">
        <f>Mensuel!C39</f>
        <v>7946870</v>
      </c>
      <c r="D32" s="9">
        <f>Mensuel!D39</f>
        <v>10452870</v>
      </c>
      <c r="E32" s="9">
        <f>Mensuel!E39</f>
        <v>9552870</v>
      </c>
      <c r="F32" s="9">
        <f>Mensuel!F39</f>
        <v>27952610</v>
      </c>
    </row>
    <row r="34" spans="1:6" x14ac:dyDescent="0.3">
      <c r="A34" s="4" t="s">
        <v>366</v>
      </c>
      <c r="B34" s="5"/>
      <c r="C34" s="5"/>
      <c r="D34" s="5"/>
      <c r="E34" s="5"/>
      <c r="F34" s="5"/>
    </row>
    <row r="35" spans="1:6" x14ac:dyDescent="0.3">
      <c r="A35" s="6" t="s">
        <v>194</v>
      </c>
      <c r="B35" s="7">
        <f>Mensuel!B42</f>
        <v>0</v>
      </c>
      <c r="C35" s="7">
        <f>Mensuel!C42</f>
        <v>465000</v>
      </c>
      <c r="D35" s="7">
        <f>Mensuel!D42</f>
        <v>0</v>
      </c>
      <c r="E35" s="7">
        <f>Mensuel!E42</f>
        <v>0</v>
      </c>
      <c r="F35" s="7">
        <f>Mensuel!F42</f>
        <v>465000</v>
      </c>
    </row>
    <row r="36" spans="1:6" x14ac:dyDescent="0.3">
      <c r="A36" s="6" t="s">
        <v>324</v>
      </c>
      <c r="B36" s="7">
        <f>Mensuel!B43</f>
        <v>0</v>
      </c>
      <c r="C36" s="7">
        <f>Mensuel!C43</f>
        <v>994583.33333333314</v>
      </c>
      <c r="D36" s="7">
        <f>Mensuel!D43</f>
        <v>90416.666666666672</v>
      </c>
      <c r="E36" s="7">
        <f>Mensuel!E43</f>
        <v>0</v>
      </c>
      <c r="F36" s="7">
        <f>Mensuel!F43</f>
        <v>1084999.9999999998</v>
      </c>
    </row>
    <row r="37" spans="1:6" x14ac:dyDescent="0.3">
      <c r="A37" s="6" t="s">
        <v>196</v>
      </c>
      <c r="B37" s="7">
        <f>Mensuel!B44</f>
        <v>0</v>
      </c>
      <c r="C37" s="7">
        <f>Mensuel!C44</f>
        <v>2375000</v>
      </c>
      <c r="D37" s="7">
        <f>Mensuel!D44</f>
        <v>0</v>
      </c>
      <c r="E37" s="7">
        <f>Mensuel!E44</f>
        <v>0</v>
      </c>
      <c r="F37" s="7">
        <f>Mensuel!F44</f>
        <v>2375000</v>
      </c>
    </row>
    <row r="38" spans="1:6" x14ac:dyDescent="0.3">
      <c r="A38" s="8" t="s">
        <v>367</v>
      </c>
      <c r="B38" s="9">
        <f>Mensuel!B45</f>
        <v>0</v>
      </c>
      <c r="C38" s="9">
        <f>Mensuel!C45</f>
        <v>3834583.3333333316</v>
      </c>
      <c r="D38" s="9">
        <f>Mensuel!D45</f>
        <v>90416.666666666672</v>
      </c>
      <c r="E38" s="9">
        <f>Mensuel!E45</f>
        <v>0</v>
      </c>
      <c r="F38" s="9">
        <f>Mensuel!F45</f>
        <v>3924999.9999999981</v>
      </c>
    </row>
    <row r="40" spans="1:6" x14ac:dyDescent="0.3">
      <c r="A40" s="4" t="s">
        <v>368</v>
      </c>
      <c r="B40" s="5"/>
      <c r="C40" s="5"/>
      <c r="D40" s="5"/>
      <c r="E40" s="5"/>
      <c r="F40" s="5"/>
    </row>
    <row r="41" spans="1:6" x14ac:dyDescent="0.3">
      <c r="A41" s="6" t="s">
        <v>369</v>
      </c>
      <c r="B41" s="7">
        <f>Mensuel!B48</f>
        <v>0</v>
      </c>
      <c r="C41" s="7">
        <f>Mensuel!C48</f>
        <v>75000</v>
      </c>
      <c r="D41" s="7">
        <f>Mensuel!D48</f>
        <v>75000</v>
      </c>
      <c r="E41" s="7">
        <f>Mensuel!E48</f>
        <v>75000</v>
      </c>
      <c r="F41" s="7">
        <f>Mensuel!F48</f>
        <v>225000</v>
      </c>
    </row>
    <row r="42" spans="1:6" x14ac:dyDescent="0.3">
      <c r="A42" s="6" t="s">
        <v>370</v>
      </c>
      <c r="B42" s="7">
        <f>Mensuel!B49</f>
        <v>0</v>
      </c>
      <c r="C42" s="7">
        <f>Mensuel!C49</f>
        <v>250000</v>
      </c>
      <c r="D42" s="7">
        <f>Mensuel!D49</f>
        <v>0</v>
      </c>
      <c r="E42" s="7">
        <f>Mensuel!E49</f>
        <v>0</v>
      </c>
      <c r="F42" s="7">
        <f>Mensuel!F49</f>
        <v>250000</v>
      </c>
    </row>
    <row r="43" spans="1:6" x14ac:dyDescent="0.3">
      <c r="A43" s="6" t="s">
        <v>371</v>
      </c>
      <c r="B43" s="7">
        <f>Mensuel!B50</f>
        <v>0</v>
      </c>
      <c r="C43" s="7">
        <f>Mensuel!C50</f>
        <v>139000</v>
      </c>
      <c r="D43" s="7">
        <f>Mensuel!D50</f>
        <v>89000</v>
      </c>
      <c r="E43" s="7">
        <f>Mensuel!E50</f>
        <v>89000</v>
      </c>
      <c r="F43" s="7">
        <f>Mensuel!F50</f>
        <v>317000</v>
      </c>
    </row>
    <row r="44" spans="1:6" x14ac:dyDescent="0.3">
      <c r="A44" s="6" t="s">
        <v>372</v>
      </c>
      <c r="B44" s="7">
        <f>Mensuel!B51</f>
        <v>0</v>
      </c>
      <c r="C44" s="7">
        <f>Mensuel!C51</f>
        <v>695000</v>
      </c>
      <c r="D44" s="7">
        <f>Mensuel!D51</f>
        <v>0</v>
      </c>
      <c r="E44" s="7">
        <f>Mensuel!E51</f>
        <v>0</v>
      </c>
      <c r="F44" s="7">
        <f>Mensuel!F51</f>
        <v>695000</v>
      </c>
    </row>
    <row r="45" spans="1:6" x14ac:dyDescent="0.3">
      <c r="A45" s="8" t="s">
        <v>373</v>
      </c>
      <c r="B45" s="9">
        <f>Mensuel!B52</f>
        <v>0</v>
      </c>
      <c r="C45" s="9">
        <f>Mensuel!C52</f>
        <v>1159000</v>
      </c>
      <c r="D45" s="9">
        <f>Mensuel!D52</f>
        <v>164000</v>
      </c>
      <c r="E45" s="9">
        <f>Mensuel!E52</f>
        <v>164000</v>
      </c>
      <c r="F45" s="9">
        <f>Mensuel!F52</f>
        <v>1487000</v>
      </c>
    </row>
    <row r="47" spans="1:6" x14ac:dyDescent="0.3">
      <c r="A47" s="10" t="s">
        <v>330</v>
      </c>
      <c r="B47" s="11">
        <f>Mensuel!B54</f>
        <v>4550000</v>
      </c>
      <c r="C47" s="11">
        <f>Mensuel!C54</f>
        <v>12940453.33333333</v>
      </c>
      <c r="D47" s="11">
        <f>Mensuel!D54</f>
        <v>10707286.666666666</v>
      </c>
      <c r="E47" s="11">
        <f>Mensuel!E54</f>
        <v>9716870</v>
      </c>
      <c r="F47" s="11">
        <f>Mensuel!F54</f>
        <v>37914609.999999993</v>
      </c>
    </row>
    <row r="49" spans="1:6" x14ac:dyDescent="0.3">
      <c r="A49" s="4" t="s">
        <v>374</v>
      </c>
      <c r="B49" s="5"/>
      <c r="C49" s="5"/>
      <c r="D49" s="5"/>
      <c r="E49" s="5"/>
      <c r="F49" s="5"/>
    </row>
    <row r="50" spans="1:6" x14ac:dyDescent="0.3">
      <c r="A50" s="6" t="s">
        <v>375</v>
      </c>
      <c r="B50" s="7">
        <f>Mensuel!B58</f>
        <v>0</v>
      </c>
      <c r="C50" s="7">
        <f>Mensuel!C58</f>
        <v>1320583.3333333335</v>
      </c>
      <c r="D50" s="7">
        <f>Mensuel!D58</f>
        <v>1352000.0000000007</v>
      </c>
      <c r="E50" s="7">
        <f>Mensuel!E58</f>
        <v>1352000.0000000007</v>
      </c>
      <c r="F50" s="7">
        <f>Mensuel!F58</f>
        <v>4024583.3333333349</v>
      </c>
    </row>
    <row r="51" spans="1:6" x14ac:dyDescent="0.3">
      <c r="A51" s="6" t="s">
        <v>376</v>
      </c>
      <c r="B51" s="7">
        <f>Mensuel!B59</f>
        <v>0</v>
      </c>
      <c r="C51" s="7">
        <f>Mensuel!C59</f>
        <v>3737500</v>
      </c>
      <c r="D51" s="7">
        <f>Mensuel!D59</f>
        <v>1300000</v>
      </c>
      <c r="E51" s="7">
        <f>Mensuel!E59</f>
        <v>1300000</v>
      </c>
      <c r="F51" s="7">
        <f>Mensuel!F59</f>
        <v>6337500</v>
      </c>
    </row>
    <row r="52" spans="1:6" x14ac:dyDescent="0.3">
      <c r="A52" s="6" t="s">
        <v>26</v>
      </c>
      <c r="B52" s="7">
        <f>Mensuel!B60</f>
        <v>0</v>
      </c>
      <c r="C52" s="7">
        <f>Mensuel!C60</f>
        <v>4951440</v>
      </c>
      <c r="D52" s="7">
        <f>Mensuel!D60</f>
        <v>4942080</v>
      </c>
      <c r="E52" s="7">
        <f>Mensuel!E60</f>
        <v>4492800</v>
      </c>
      <c r="F52" s="7">
        <f>Mensuel!F60</f>
        <v>14386320</v>
      </c>
    </row>
    <row r="53" spans="1:6" x14ac:dyDescent="0.3">
      <c r="A53" s="6" t="s">
        <v>27</v>
      </c>
      <c r="B53" s="7">
        <f>Mensuel!B61</f>
        <v>0</v>
      </c>
      <c r="C53" s="7">
        <f>Mensuel!C61</f>
        <v>3094650</v>
      </c>
      <c r="D53" s="7">
        <f>Mensuel!D61</f>
        <v>3088800</v>
      </c>
      <c r="E53" s="7">
        <f>Mensuel!E61</f>
        <v>3088800</v>
      </c>
      <c r="F53" s="7">
        <f>Mensuel!F61</f>
        <v>9272250</v>
      </c>
    </row>
    <row r="54" spans="1:6" x14ac:dyDescent="0.3">
      <c r="A54" s="10" t="s">
        <v>203</v>
      </c>
      <c r="B54" s="11">
        <f>Mensuel!B62</f>
        <v>0</v>
      </c>
      <c r="C54" s="11">
        <f>Mensuel!C62</f>
        <v>13104173.333333338</v>
      </c>
      <c r="D54" s="11">
        <f>Mensuel!D62</f>
        <v>10682880</v>
      </c>
      <c r="E54" s="11">
        <f>Mensuel!E62</f>
        <v>10233600</v>
      </c>
      <c r="F54" s="11">
        <f>Mensuel!F62</f>
        <v>34020653.333333336</v>
      </c>
    </row>
    <row r="56" spans="1:6" x14ac:dyDescent="0.3">
      <c r="A56" s="4" t="s">
        <v>377</v>
      </c>
      <c r="B56" s="5"/>
      <c r="C56" s="5"/>
      <c r="D56" s="5"/>
      <c r="E56" s="5"/>
      <c r="F56" s="5"/>
    </row>
    <row r="57" spans="1:6" x14ac:dyDescent="0.3">
      <c r="A57" s="12" t="s">
        <v>378</v>
      </c>
      <c r="B57" s="13">
        <f>Mensuel!B65</f>
        <v>-4550000</v>
      </c>
      <c r="C57" s="13">
        <f>Mensuel!C65</f>
        <v>163720.00000000338</v>
      </c>
      <c r="D57" s="13">
        <f>Mensuel!D65</f>
        <v>-24406.666666666511</v>
      </c>
      <c r="E57" s="13">
        <f>Mensuel!E65</f>
        <v>516730</v>
      </c>
      <c r="F57" s="13">
        <f>Mensuel!F65</f>
        <v>-3893956.6666666623</v>
      </c>
    </row>
    <row r="58" spans="1:6" x14ac:dyDescent="0.3">
      <c r="A58" s="10" t="s">
        <v>379</v>
      </c>
      <c r="B58" s="11">
        <f>Mensuel!B66</f>
        <v>10450000</v>
      </c>
      <c r="C58" s="11">
        <f>Mensuel!C66</f>
        <v>10613719.999999998</v>
      </c>
      <c r="D58" s="11">
        <f>Mensuel!D66</f>
        <v>10589313.333333332</v>
      </c>
      <c r="E58" s="11">
        <f>Mensuel!E66</f>
        <v>11106043.333333332</v>
      </c>
      <c r="F58" s="11">
        <f>Mensuel!F66</f>
        <v>6350174.166666667</v>
      </c>
    </row>
    <row r="59" spans="1:6" x14ac:dyDescent="0.3">
      <c r="A59" s="6" t="s">
        <v>380</v>
      </c>
      <c r="F59" s="14">
        <f>Mensuel!F67</f>
        <v>0</v>
      </c>
    </row>
    <row r="60" spans="1:6" x14ac:dyDescent="0.3">
      <c r="A60" s="6" t="s">
        <v>381</v>
      </c>
      <c r="F60" s="38" t="str">
        <f>IFERROR(INDEX(Mensuel!G4:AQ4,MATCH(1,Mensuel!G67:AQ67,0)),"aucun")</f>
        <v>aucun</v>
      </c>
    </row>
    <row r="62" spans="1:6" x14ac:dyDescent="0.3">
      <c r="A62" s="4" t="s">
        <v>382</v>
      </c>
      <c r="B62" s="5"/>
      <c r="C62" s="5"/>
      <c r="D62" s="5"/>
      <c r="E62" s="5"/>
      <c r="F62" s="5"/>
    </row>
    <row r="63" spans="1:6" x14ac:dyDescent="0.3">
      <c r="A63" s="12" t="s">
        <v>106</v>
      </c>
      <c r="B63" s="13">
        <f>Hypothèses!$B$54</f>
        <v>15000000</v>
      </c>
    </row>
    <row r="64" spans="1:6" x14ac:dyDescent="0.3">
      <c r="A64" s="6" t="s">
        <v>383</v>
      </c>
      <c r="B64" s="15">
        <f>-B13</f>
        <v>-4550000</v>
      </c>
    </row>
    <row r="65" spans="1:2" x14ac:dyDescent="0.3">
      <c r="A65" s="6" t="s">
        <v>384</v>
      </c>
      <c r="B65" s="15">
        <f>-(C32-C26-C30-C31)</f>
        <v>-6500000</v>
      </c>
    </row>
    <row r="66" spans="1:2" x14ac:dyDescent="0.3">
      <c r="A66" s="12" t="s">
        <v>385</v>
      </c>
      <c r="B66" s="16">
        <f>SUM(B63:B65)</f>
        <v>3950000</v>
      </c>
    </row>
    <row r="67" spans="1:2" x14ac:dyDescent="0.3">
      <c r="A67" s="6" t="s">
        <v>386</v>
      </c>
      <c r="B67" s="15">
        <f>C35+C37+C45</f>
        <v>3999000</v>
      </c>
    </row>
    <row r="68" spans="1:2" x14ac:dyDescent="0.3">
      <c r="A68" s="12" t="s">
        <v>387</v>
      </c>
      <c r="B68" s="16">
        <f>B66-B67</f>
        <v>-49000</v>
      </c>
    </row>
    <row r="69" spans="1:2" x14ac:dyDescent="0.3">
      <c r="A69" s="6" t="s">
        <v>388</v>
      </c>
      <c r="B69" s="15">
        <f>C38-C35-C37+C26</f>
        <v>2362703.3333333316</v>
      </c>
    </row>
    <row r="71" spans="1:2" x14ac:dyDescent="0.3">
      <c r="A71" s="2" t="s">
        <v>389</v>
      </c>
    </row>
    <row r="72" spans="1:2" x14ac:dyDescent="0.3">
      <c r="A72" s="2" t="s">
        <v>390</v>
      </c>
    </row>
    <row r="73" spans="1:2" x14ac:dyDescent="0.3">
      <c r="A73" s="2" t="s">
        <v>391</v>
      </c>
    </row>
    <row r="74" spans="1:2" x14ac:dyDescent="0.3">
      <c r="A74" s="2" t="s">
        <v>392</v>
      </c>
    </row>
    <row r="75" spans="1:2" x14ac:dyDescent="0.3">
      <c r="A75" s="2" t="s">
        <v>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Résumé</vt:lpstr>
      <vt:lpstr>Hypothèses</vt:lpstr>
      <vt:lpstr>Démarrage</vt:lpstr>
      <vt:lpstr>Recettes</vt:lpstr>
      <vt:lpstr>Charges</vt:lpstr>
      <vt:lpstr>Marge</vt:lpstr>
      <vt:lpstr>Résultat</vt:lpstr>
      <vt:lpstr>Mensuel</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TamCar — Résultat complet</dc:title>
  <dc:creator>openpyxl</dc:creator>
  <cp:lastModifiedBy>PC</cp:lastModifiedBy>
  <dcterms:created xsi:type="dcterms:W3CDTF">2026-10-03T15:23:32Z</dcterms:created>
  <dcterms:modified xsi:type="dcterms:W3CDTF">2026-10-11T17:12:16Z</dcterms:modified>
</cp:coreProperties>
</file>