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RENCE\TamCar\App\"/>
    </mc:Choice>
  </mc:AlternateContent>
  <bookViews>
    <workbookView xWindow="0" yWindow="0" windowWidth="23040" windowHeight="9072" activeTab="2"/>
  </bookViews>
  <sheets>
    <sheet name="Hypothèses" sheetId="1" r:id="rId1"/>
    <sheet name="Recettes" sheetId="2" r:id="rId2"/>
    <sheet name="Charges" sheetId="3" r:id="rId3"/>
    <sheet name="P&amp;L 24 mois" sheetId="4" r:id="rId4"/>
    <sheet name="Investisseur" sheetId="5" r:id="rId5"/>
  </sheets>
  <calcPr calcId="162913"/>
</workbook>
</file>

<file path=xl/calcChain.xml><?xml version="1.0" encoding="utf-8"?>
<calcChain xmlns="http://schemas.openxmlformats.org/spreadsheetml/2006/main">
  <c r="C44" i="3" l="1"/>
  <c r="C17" i="5"/>
  <c r="C5" i="5"/>
  <c r="C10" i="4"/>
  <c r="Z44" i="3"/>
  <c r="Z7" i="4" s="1"/>
  <c r="Y44" i="3"/>
  <c r="Y7" i="4" s="1"/>
  <c r="X44" i="3"/>
  <c r="X7" i="4" s="1"/>
  <c r="W44" i="3"/>
  <c r="W7" i="4" s="1"/>
  <c r="V44" i="3"/>
  <c r="V7" i="4" s="1"/>
  <c r="U44" i="3"/>
  <c r="U7" i="4" s="1"/>
  <c r="T44" i="3"/>
  <c r="T7" i="4" s="1"/>
  <c r="S44" i="3"/>
  <c r="S7" i="4" s="1"/>
  <c r="R44" i="3"/>
  <c r="R7" i="4" s="1"/>
  <c r="Q44" i="3"/>
  <c r="Q7" i="4" s="1"/>
  <c r="P44" i="3"/>
  <c r="P7" i="4" s="1"/>
  <c r="O44" i="3"/>
  <c r="O7" i="4" s="1"/>
  <c r="N44" i="3"/>
  <c r="N7" i="4" s="1"/>
  <c r="M44" i="3"/>
  <c r="M7" i="4" s="1"/>
  <c r="L44" i="3"/>
  <c r="L7" i="4" s="1"/>
  <c r="K44" i="3"/>
  <c r="K7" i="4" s="1"/>
  <c r="J44" i="3"/>
  <c r="J7" i="4" s="1"/>
  <c r="I44" i="3"/>
  <c r="I7" i="4" s="1"/>
  <c r="H44" i="3"/>
  <c r="H7" i="4" s="1"/>
  <c r="G44" i="3"/>
  <c r="G7" i="4" s="1"/>
  <c r="F44" i="3"/>
  <c r="F7" i="4" s="1"/>
  <c r="E44" i="3"/>
  <c r="E7" i="4" s="1"/>
  <c r="D44" i="3"/>
  <c r="D7" i="4" s="1"/>
  <c r="C7" i="4"/>
  <c r="C13" i="3"/>
  <c r="C6" i="4" s="1"/>
  <c r="C9" i="1"/>
  <c r="C18" i="1" s="1"/>
  <c r="C17" i="4" l="1"/>
  <c r="S6" i="2"/>
  <c r="S7" i="2" s="1"/>
  <c r="S5" i="4" s="1"/>
  <c r="S8" i="4" s="1"/>
  <c r="Z6" i="2"/>
  <c r="Z7" i="2" s="1"/>
  <c r="Z5" i="4" s="1"/>
  <c r="Z8" i="4" s="1"/>
  <c r="Y6" i="2"/>
  <c r="Y7" i="2" s="1"/>
  <c r="Y5" i="4" s="1"/>
  <c r="Y8" i="4" s="1"/>
  <c r="Q6" i="2"/>
  <c r="Q7" i="2" s="1"/>
  <c r="Q5" i="4" s="1"/>
  <c r="Q8" i="4" s="1"/>
  <c r="X6" i="2"/>
  <c r="X7" i="2" s="1"/>
  <c r="X5" i="4" s="1"/>
  <c r="X8" i="4" s="1"/>
  <c r="P6" i="2"/>
  <c r="P7" i="2" s="1"/>
  <c r="P5" i="4" s="1"/>
  <c r="P8" i="4" s="1"/>
  <c r="R6" i="2"/>
  <c r="R7" i="2" s="1"/>
  <c r="R5" i="4" s="1"/>
  <c r="R8" i="4" s="1"/>
  <c r="W6" i="2"/>
  <c r="W7" i="2" s="1"/>
  <c r="W5" i="4" s="1"/>
  <c r="W8" i="4" s="1"/>
  <c r="O6" i="2"/>
  <c r="O7" i="2" s="1"/>
  <c r="V6" i="2"/>
  <c r="V7" i="2" s="1"/>
  <c r="V5" i="4" s="1"/>
  <c r="V8" i="4" s="1"/>
  <c r="U6" i="2"/>
  <c r="U7" i="2" s="1"/>
  <c r="U5" i="4" s="1"/>
  <c r="U8" i="4" s="1"/>
  <c r="T6" i="2"/>
  <c r="T7" i="2" s="1"/>
  <c r="T5" i="4" s="1"/>
  <c r="T8" i="4" s="1"/>
  <c r="C16" i="4"/>
  <c r="C17" i="1"/>
  <c r="O5" i="4" l="1"/>
  <c r="C10" i="2"/>
  <c r="K6" i="2"/>
  <c r="K7" i="2" s="1"/>
  <c r="K5" i="4" s="1"/>
  <c r="K8" i="4" s="1"/>
  <c r="C6" i="2"/>
  <c r="C7" i="2" s="1"/>
  <c r="J6" i="2"/>
  <c r="J7" i="2" s="1"/>
  <c r="J5" i="4" s="1"/>
  <c r="J8" i="4" s="1"/>
  <c r="H6" i="2"/>
  <c r="H7" i="2" s="1"/>
  <c r="H5" i="4" s="1"/>
  <c r="H8" i="4" s="1"/>
  <c r="L6" i="2"/>
  <c r="L7" i="2" s="1"/>
  <c r="L5" i="4" s="1"/>
  <c r="L8" i="4" s="1"/>
  <c r="I6" i="2"/>
  <c r="I7" i="2" s="1"/>
  <c r="I5" i="4" s="1"/>
  <c r="I8" i="4" s="1"/>
  <c r="G6" i="2"/>
  <c r="G7" i="2" s="1"/>
  <c r="G5" i="4" s="1"/>
  <c r="G8" i="4" s="1"/>
  <c r="N6" i="2"/>
  <c r="N7" i="2" s="1"/>
  <c r="N5" i="4" s="1"/>
  <c r="N8" i="4" s="1"/>
  <c r="F6" i="2"/>
  <c r="F7" i="2" s="1"/>
  <c r="F5" i="4" s="1"/>
  <c r="F8" i="4" s="1"/>
  <c r="M6" i="2"/>
  <c r="M7" i="2" s="1"/>
  <c r="M5" i="4" s="1"/>
  <c r="M8" i="4" s="1"/>
  <c r="E6" i="2"/>
  <c r="E7" i="2" s="1"/>
  <c r="E5" i="4" s="1"/>
  <c r="E8" i="4" s="1"/>
  <c r="D6" i="2"/>
  <c r="D7" i="2" s="1"/>
  <c r="D5" i="4" s="1"/>
  <c r="D8" i="4" s="1"/>
  <c r="C9" i="2" l="1"/>
  <c r="C11" i="2" s="1"/>
  <c r="C5" i="4"/>
  <c r="C15" i="4"/>
  <c r="C19" i="4" s="1"/>
  <c r="O8" i="4"/>
  <c r="C20" i="4" l="1"/>
  <c r="C21" i="4" s="1"/>
  <c r="C14" i="4"/>
  <c r="C18" i="4" s="1"/>
  <c r="C8" i="4"/>
  <c r="C11" i="4" s="1"/>
  <c r="D10" i="4" s="1"/>
  <c r="D11" i="4" s="1"/>
  <c r="E10" i="4" s="1"/>
  <c r="E11" i="4" s="1"/>
  <c r="F10" i="4" s="1"/>
  <c r="F11" i="4" s="1"/>
  <c r="G10" i="4" s="1"/>
  <c r="G11" i="4" s="1"/>
  <c r="H10" i="4" s="1"/>
  <c r="H11" i="4" s="1"/>
  <c r="I10" i="4" s="1"/>
  <c r="I11" i="4" s="1"/>
  <c r="J10" i="4" s="1"/>
  <c r="J11" i="4" s="1"/>
  <c r="K10" i="4" s="1"/>
  <c r="K11" i="4" s="1"/>
  <c r="L10" i="4" s="1"/>
  <c r="L11" i="4" s="1"/>
  <c r="M10" i="4" s="1"/>
  <c r="M11" i="4" s="1"/>
  <c r="N10" i="4" s="1"/>
  <c r="N11" i="4" s="1"/>
  <c r="C8" i="5" l="1"/>
  <c r="C9" i="5" s="1"/>
  <c r="C10" i="5" s="1"/>
  <c r="C12" i="5" s="1"/>
  <c r="C7" i="5"/>
  <c r="C14" i="5"/>
  <c r="C15" i="5" s="1"/>
  <c r="C23" i="4"/>
  <c r="O10" i="4"/>
  <c r="O11" i="4" s="1"/>
  <c r="P10" i="4" s="1"/>
  <c r="P11" i="4" s="1"/>
  <c r="Q10" i="4" s="1"/>
  <c r="Q11" i="4" s="1"/>
  <c r="R10" i="4" s="1"/>
  <c r="R11" i="4" s="1"/>
  <c r="S10" i="4" s="1"/>
  <c r="S11" i="4" s="1"/>
  <c r="T10" i="4" s="1"/>
  <c r="T11" i="4" s="1"/>
  <c r="U10" i="4" s="1"/>
  <c r="U11" i="4" s="1"/>
  <c r="V10" i="4" s="1"/>
  <c r="V11" i="4" s="1"/>
  <c r="W10" i="4" s="1"/>
  <c r="W11" i="4" s="1"/>
  <c r="X10" i="4" s="1"/>
  <c r="X11" i="4" s="1"/>
  <c r="Y10" i="4" s="1"/>
  <c r="Y11" i="4" s="1"/>
  <c r="Z10" i="4" s="1"/>
  <c r="Z11" i="4" s="1"/>
  <c r="C24" i="4" s="1"/>
  <c r="C19" i="5" l="1"/>
  <c r="C18" i="5"/>
</calcChain>
</file>

<file path=xl/sharedStrings.xml><?xml version="1.0" encoding="utf-8"?>
<sst xmlns="http://schemas.openxmlformats.org/spreadsheetml/2006/main" count="205" uniqueCount="156">
  <si>
    <t>TamCar — Budget 24 mois · HYPOTHÈSES</t>
  </si>
  <si>
    <t>Édition 2026-07 · Modifie UNIQUEMENT les cellules bleues, tout le reste se recalcule.</t>
  </si>
  <si>
    <t>A · Productivité d'un véhicule (scénario réaliste)</t>
  </si>
  <si>
    <t>Prix moyen d'une course</t>
  </si>
  <si>
    <t>Décision 2026-07 (au lieu de 2 500)</t>
  </si>
  <si>
    <t>Courses / jour / véhicule</t>
  </si>
  <si>
    <t>Voiture &amp; tricycle (moto = plus)</t>
  </si>
  <si>
    <t>Jours actifs / mois</t>
  </si>
  <si>
    <t>Semaine de 6 jours (dimanche off)</t>
  </si>
  <si>
    <t>Volume de courses / véh / mois</t>
  </si>
  <si>
    <t>Calculé = prix × courses × jours</t>
  </si>
  <si>
    <t>B · Répartition de chaque course (split 40/10/30/20)</t>
  </si>
  <si>
    <t>Part plateforme (directe)</t>
  </si>
  <si>
    <t>Revenu TamCar par course</t>
  </si>
  <si>
    <t>Part fonds rachat</t>
  </si>
  <si>
    <t>Alimente le rachat véhicule</t>
  </si>
  <si>
    <t>Part plateforme du fonds rachat — An 1</t>
  </si>
  <si>
    <t>Dégressif</t>
  </si>
  <si>
    <t>Part plateforme du fonds rachat — An 2</t>
  </si>
  <si>
    <t>Assurance conducteur / véh / mois</t>
  </si>
  <si>
    <t>Prélèvement mensuel (revenu TamCar)</t>
  </si>
  <si>
    <t>Revenu plateforme / véh / mois — An 1</t>
  </si>
  <si>
    <t>20% volume + 30% du rachat + assurance</t>
  </si>
  <si>
    <t>Revenu plateforme / véh / mois — An 2</t>
  </si>
  <si>
    <t>20% volume + 20% du rachat + assurance</t>
  </si>
  <si>
    <t>C · Fiscalité &amp; capital</t>
  </si>
  <si>
    <t>Impôt sur les sociétés (IS)</t>
  </si>
  <si>
    <t>Sur résultat annuel positif</t>
  </si>
  <si>
    <t>Retenue IRCM sur dividendes</t>
  </si>
  <si>
    <t>Prélevée à la distribution</t>
  </si>
  <si>
    <t>Taux de distribution des dividendes</t>
  </si>
  <si>
    <t>% du résultat net distribué</t>
  </si>
  <si>
    <t>Trésorerie de départ</t>
  </si>
  <si>
    <t>Levée 10 M + reliquat CAPEX</t>
  </si>
  <si>
    <t>Capital social total</t>
  </si>
  <si>
    <t>20 M apport IP + 10 M numéraire</t>
  </si>
  <si>
    <t>Ticket investisseur (référence)</t>
  </si>
  <si>
    <t>Pour le calcul de rendement</t>
  </si>
  <si>
    <t>Multiple de valorisation à la sortie (An 5)</t>
  </si>
  <si>
    <t>Valeur société = multiple × résultat net An 2</t>
  </si>
  <si>
    <t>Note : la trajectoire mensuelle des véhicules actifs est saisie dans l'onglet « Recettes » (ligne bleue).</t>
  </si>
  <si>
    <t>Recettes plateforme — 24 mois</t>
  </si>
  <si>
    <t>Ligne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</si>
  <si>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</si>
  <si>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</si>
  <si>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</si>
  <si>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</si>
  <si>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</si>
  <si>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</si>
  <si>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</si>
  <si>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</si>
  <si>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</si>
  <si>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</si>
  <si>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</si>
  <si>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</si>
  <si>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</si>
  <si>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</si>
  <si>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</si>
  <si>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</si>
  <si>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</si>
  <si>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</si>
  <si>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</si>
  <si>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</si>
  <si>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</si>
  <si>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</si>
  <si>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</si>
  <si>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</si>
  <si>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Véhicules actifs</t>
  </si>
  <si>
    <t>Revenu / véh / mois</t>
  </si>
  <si>
    <t>RECETTES PLATEFORME</t>
  </si>
  <si>
    <t>Total An 1 (M1-M12)</t>
  </si>
  <si>
    <t>Total An 2 (M13-M24)</t>
  </si>
  <si>
    <t>Total 24 mois</t>
  </si>
  <si>
    <t>Charges — CAPEX (démarrage) + OPEX mensuel</t>
  </si>
  <si>
    <t>CAPEX de démarrage (one-shot, imputé M1)</t>
  </si>
  <si>
    <t>ANATT — 1re autorisation + attestations + acomptes</t>
  </si>
  <si>
    <t>Honoraires juriste OHADA (contrats)</t>
  </si>
  <si>
    <t>Bureau — caution + aménagement</t>
  </si>
  <si>
    <t>Matériel informatique + mobilier</t>
  </si>
  <si>
    <t>Marketing lancement (événement, photo, vidéo)</t>
  </si>
  <si>
    <t>Habillage 10 véhicules + inspections + kits</t>
  </si>
  <si>
    <t>Charte visuelle + print + domaine/email</t>
  </si>
  <si>
    <t>TOTAL CAPEX</t>
  </si>
  <si>
    <t>OPEX mensuel par catégorie</t>
  </si>
  <si>
    <t>Catégorie</t>
  </si>
  <si>
    <t>Bureau &amp; infrastructure</t>
  </si>
  <si>
    <t>Financier &amp; Mobile Money + assurance RC</t>
  </si>
  <si>
    <t>Ops manager (dès M18)</t>
  </si>
  <si>
    <t>Extension Parakou (dès M18)</t>
  </si>
  <si>
    <t>TOTAL OPEX MENSUEL</t>
  </si>
  <si>
    <t>P&amp;L consolidé — 24 mois</t>
  </si>
  <si>
    <t>Poste</t>
  </si>
  <si>
    <t>Recettes plateforme</t>
  </si>
  <si>
    <t>CAPEX (M1)</t>
  </si>
  <si>
    <t>OPEX récurrent</t>
  </si>
  <si>
    <t>Résultat avant impôt</t>
  </si>
  <si>
    <t>Trésorerie début de mois</t>
  </si>
  <si>
    <t>Trésorerie fin de mois</t>
  </si>
  <si>
    <t>Synthèse</t>
  </si>
  <si>
    <t>Recettes An 1</t>
  </si>
  <si>
    <t>Recettes An 2</t>
  </si>
  <si>
    <t>Charges An 1 (CAPEX+OPEX)</t>
  </si>
  <si>
    <t>Charges An 2</t>
  </si>
  <si>
    <t>Résultat avant impôt An 1</t>
  </si>
  <si>
    <t>Résultat avant impôt An 2</t>
  </si>
  <si>
    <t>IS An 2 (30% si positif)</t>
  </si>
  <si>
    <t>Résultat NET An 2</t>
  </si>
  <si>
    <t>Trésorerie fin M12</t>
  </si>
  <si>
    <t>Trésorerie fin M24</t>
  </si>
  <si>
    <t>Rendement investisseur — ticket 1 M FCFA</t>
  </si>
  <si>
    <t>Basé sur le P&amp;L ci-contre (prix course 1 500 F). Hypothèse conservatrice.</t>
  </si>
  <si>
    <t>Part de l'investisseur au capital</t>
  </si>
  <si>
    <t>1 M / 30 M</t>
  </si>
  <si>
    <t>Résultat net An 2 (société)</t>
  </si>
  <si>
    <t>Après IS</t>
  </si>
  <si>
    <t>Dividendes distribués An 2 (40%)</t>
  </si>
  <si>
    <t>Si résultat positif</t>
  </si>
  <si>
    <t>Part de l'investisseur (brut)</t>
  </si>
  <si>
    <t>Sa quote-part</t>
  </si>
  <si>
    <t>Dividende net d'IRCM (An 2)</t>
  </si>
  <si>
    <t>Après retenue 10%</t>
  </si>
  <si>
    <t>Dividendes nets cumulés ~5 ans</t>
  </si>
  <si>
    <t>Hyp. An3-5 ≈ 3,5× l'An 2 (croissance)</t>
  </si>
  <si>
    <t>Valeur de la société à la sortie</t>
  </si>
  <si>
    <t>Multiple × résultat net An 2</t>
  </si>
  <si>
    <t>Valeur du ticket à la sortie</t>
  </si>
  <si>
    <t>Quote-part de l'investisseur</t>
  </si>
  <si>
    <t>Ticket de départ</t>
  </si>
  <si>
    <t>RETOUR TOTAL (dividendes + plus-value)</t>
  </si>
  <si>
    <t>Sur ~5 ans</t>
  </si>
  <si>
    <t>RETOUR en % du ticket</t>
  </si>
  <si>
    <t>⚠️ Chiffres pilotés par les Hypothèses. La valorisation à la sortie dépend fortement du multiple (C27) et du résultat An 2 — à challenger avec un CFO.</t>
  </si>
  <si>
    <t>Formalisation société (statuts + RCCM + IFU + annonce légale + valorisation App)</t>
  </si>
  <si>
    <t>Loyer</t>
  </si>
  <si>
    <t>Electricité et eau</t>
  </si>
  <si>
    <t>Déploiement technique</t>
  </si>
  <si>
    <t>Personnel de travail</t>
  </si>
  <si>
    <t>Actions communication et commerciales</t>
  </si>
  <si>
    <t>Frais financiers</t>
  </si>
  <si>
    <t>Vercel Pro</t>
  </si>
  <si>
    <t>Supabase Pro</t>
  </si>
  <si>
    <t>Mapbox</t>
  </si>
  <si>
    <t>Twilio SMS</t>
  </si>
  <si>
    <t>IA Vision</t>
  </si>
  <si>
    <t>Claude Code</t>
  </si>
  <si>
    <t>Domaine pro + email pro</t>
  </si>
  <si>
    <t>Secrétaire</t>
  </si>
  <si>
    <t>Community manager</t>
  </si>
  <si>
    <t>Comptable externe</t>
  </si>
  <si>
    <t>Juriste consultant</t>
  </si>
  <si>
    <t>Responsable opérations</t>
  </si>
  <si>
    <t>Ads Réseaux sociaux (Facebook + TikTok)</t>
  </si>
  <si>
    <t>Ads Google</t>
  </si>
  <si>
    <t>Radio locale (spots)</t>
  </si>
  <si>
    <t>Street marketing + flyers</t>
  </si>
  <si>
    <t>Parrainage (bonus 500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</si>
</sst>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\ &quot;F&quot;;\(#,##0\)\ &quot;F&quot;;\-"/>
    <numFmt numFmtId="165" formatCode="0\ %"/>
    <numFmt numFmtId="166" formatCode="0.0&quot;×&quot;"/>
    <numFmt numFmtId="167" formatCode="0.00\ %"/>
  </numFmts>
  <fonts count="14" x14ac:knownFonts="1">
    <font>
      <sz val="11"/>
      <color theme="1"/>
      <name val="Calibri"/>
      <family val="2"/>
      <scheme val="minor"/>
    </font>
    <font>
      <b/>
      <sz val="14"/>
      <color rgb="FF1E3A8A"/>
      <name val="Arial"/>
    </font>
    <font>
      <i/>
      <sz val="9"/>
      <color rgb="FF666666"/>
      <name val="Arial"/>
    </font>
    <font>
      <sz val="11"/>
      <color rgb="FF000000"/>
      <name val="Arial"/>
    </font>
    <font>
      <b/>
      <sz val="11"/>
      <name val="Arial"/>
    </font>
    <font>
      <b/>
      <sz val="14"/>
      <color rgb="FF1E3A8A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rgb="FF1E3A8A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FFFFFF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1"/>
      <color rgb="FF0000FF"/>
      <name val="Cambria"/>
      <family val="1"/>
      <scheme val="major"/>
    </font>
    <font>
      <i/>
      <sz val="9"/>
      <color rgb="FF666666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EFF6FF"/>
      </patternFill>
    </fill>
    <fill>
      <patternFill patternType="solid">
        <fgColor rgb="FF1E3A8A"/>
      </patternFill>
    </fill>
    <fill>
      <patternFill patternType="solid">
        <fgColor rgb="FFCFEA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  <xf numFmtId="164" fontId="4" fillId="3" borderId="0" xfId="0" applyNumberFormat="1" applyFont="1" applyFill="1" applyAlignment="1">
      <alignment horizontal="right"/>
    </xf>
    <xf numFmtId="167" fontId="0" fillId="0" borderId="0" xfId="0" applyNumberFormat="1" applyAlignment="1">
      <alignment horizontal="right"/>
    </xf>
    <xf numFmtId="165" fontId="4" fillId="3" borderId="0" xfId="0" applyNumberFormat="1" applyFont="1" applyFill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164" fontId="9" fillId="3" borderId="0" xfId="0" applyNumberFormat="1" applyFont="1" applyFill="1"/>
    <xf numFmtId="0" fontId="10" fillId="4" borderId="0" xfId="0" applyFont="1" applyFill="1"/>
    <xf numFmtId="0" fontId="10" fillId="4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6" fillId="5" borderId="0" xfId="0" applyNumberFormat="1" applyFont="1" applyFill="1" applyAlignment="1">
      <alignment horizontal="right" vertical="center"/>
    </xf>
    <xf numFmtId="0" fontId="9" fillId="3" borderId="0" xfId="0" applyFont="1" applyFill="1" applyAlignment="1">
      <alignment vertical="center"/>
    </xf>
    <xf numFmtId="164" fontId="9" fillId="3" borderId="0" xfId="0" applyNumberFormat="1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3" fontId="12" fillId="2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164" fontId="9" fillId="3" borderId="0" xfId="0" applyNumberFormat="1" applyFont="1" applyFill="1" applyAlignment="1">
      <alignment horizontal="right"/>
    </xf>
    <xf numFmtId="0" fontId="9" fillId="0" borderId="0" xfId="0" applyFont="1"/>
    <xf numFmtId="164" fontId="9" fillId="0" borderId="0" xfId="0" applyNumberFormat="1" applyFont="1"/>
    <xf numFmtId="0" fontId="13" fillId="0" borderId="0" xfId="0" applyFont="1"/>
    <xf numFmtId="164" fontId="12" fillId="2" borderId="0" xfId="0" applyNumberFormat="1" applyFont="1" applyFill="1" applyAlignment="1">
      <alignment horizontal="right"/>
    </xf>
    <xf numFmtId="165" fontId="12" fillId="2" borderId="0" xfId="0" applyNumberFormat="1" applyFont="1" applyFill="1" applyAlignment="1">
      <alignment horizontal="right"/>
    </xf>
    <xf numFmtId="166" fontId="12" fillId="2" borderId="0" xfId="0" applyNumberFormat="1" applyFont="1" applyFill="1" applyAlignment="1">
      <alignment horizontal="right"/>
    </xf>
    <xf numFmtId="164" fontId="8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FE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showGridLines="0" workbookViewId="0">
      <selection activeCell="C9" sqref="C9"/>
    </sheetView>
  </sheetViews>
  <sheetFormatPr baseColWidth="10" defaultColWidth="8.88671875" defaultRowHeight="13.8" x14ac:dyDescent="0.25"/>
  <cols>
    <col min="1" max="1" width="2" style="10" customWidth="1"/>
    <col min="2" max="2" width="46" style="10" customWidth="1"/>
    <col min="3" max="3" width="16" style="10" customWidth="1"/>
    <col min="4" max="4" width="52" style="10" customWidth="1"/>
    <col min="5" max="16384" width="8.88671875" style="10"/>
  </cols>
  <sheetData>
    <row r="2" spans="2:4" ht="17.399999999999999" x14ac:dyDescent="0.3">
      <c r="B2" s="9" t="s">
        <v>0</v>
      </c>
    </row>
    <row r="3" spans="2:4" x14ac:dyDescent="0.25">
      <c r="B3" s="32" t="s">
        <v>1</v>
      </c>
    </row>
    <row r="5" spans="2:4" x14ac:dyDescent="0.25">
      <c r="B5" s="11" t="s">
        <v>2</v>
      </c>
    </row>
    <row r="6" spans="2:4" x14ac:dyDescent="0.25">
      <c r="B6" s="12" t="s">
        <v>3</v>
      </c>
      <c r="C6" s="33">
        <v>1500</v>
      </c>
      <c r="D6" s="32" t="s">
        <v>4</v>
      </c>
    </row>
    <row r="7" spans="2:4" x14ac:dyDescent="0.25">
      <c r="B7" s="12" t="s">
        <v>5</v>
      </c>
      <c r="C7" s="27">
        <v>10</v>
      </c>
      <c r="D7" s="32" t="s">
        <v>6</v>
      </c>
    </row>
    <row r="8" spans="2:4" x14ac:dyDescent="0.25">
      <c r="B8" s="12" t="s">
        <v>7</v>
      </c>
      <c r="C8" s="27">
        <v>26</v>
      </c>
      <c r="D8" s="32" t="s">
        <v>8</v>
      </c>
    </row>
    <row r="9" spans="2:4" x14ac:dyDescent="0.25">
      <c r="B9" s="12" t="s">
        <v>9</v>
      </c>
      <c r="C9" s="28">
        <f>C6*C7*C8</f>
        <v>390000</v>
      </c>
      <c r="D9" s="32" t="s">
        <v>10</v>
      </c>
    </row>
    <row r="11" spans="2:4" x14ac:dyDescent="0.25">
      <c r="B11" s="11" t="s">
        <v>11</v>
      </c>
    </row>
    <row r="12" spans="2:4" x14ac:dyDescent="0.25">
      <c r="B12" s="12" t="s">
        <v>12</v>
      </c>
      <c r="C12" s="34">
        <v>0.2</v>
      </c>
      <c r="D12" s="32" t="s">
        <v>13</v>
      </c>
    </row>
    <row r="13" spans="2:4" x14ac:dyDescent="0.25">
      <c r="B13" s="12" t="s">
        <v>14</v>
      </c>
      <c r="C13" s="34">
        <v>0.1</v>
      </c>
      <c r="D13" s="32" t="s">
        <v>15</v>
      </c>
    </row>
    <row r="14" spans="2:4" x14ac:dyDescent="0.25">
      <c r="B14" s="12" t="s">
        <v>16</v>
      </c>
      <c r="C14" s="34">
        <v>0.3</v>
      </c>
      <c r="D14" s="32" t="s">
        <v>17</v>
      </c>
    </row>
    <row r="15" spans="2:4" x14ac:dyDescent="0.25">
      <c r="B15" s="12" t="s">
        <v>18</v>
      </c>
      <c r="C15" s="34">
        <v>0.2</v>
      </c>
      <c r="D15" s="32" t="s">
        <v>17</v>
      </c>
    </row>
    <row r="16" spans="2:4" x14ac:dyDescent="0.25">
      <c r="B16" s="12" t="s">
        <v>19</v>
      </c>
      <c r="C16" s="33">
        <v>500</v>
      </c>
      <c r="D16" s="32" t="s">
        <v>20</v>
      </c>
    </row>
    <row r="17" spans="2:4" x14ac:dyDescent="0.25">
      <c r="B17" s="30" t="s">
        <v>21</v>
      </c>
      <c r="C17" s="29">
        <f>C9*C12 + C9*C13*C14 + C16</f>
        <v>90200</v>
      </c>
      <c r="D17" s="32" t="s">
        <v>22</v>
      </c>
    </row>
    <row r="18" spans="2:4" x14ac:dyDescent="0.25">
      <c r="B18" s="30" t="s">
        <v>23</v>
      </c>
      <c r="C18" s="29">
        <f>C9*C12 + C9*C13*C15 + C16</f>
        <v>86300</v>
      </c>
      <c r="D18" s="32" t="s">
        <v>24</v>
      </c>
    </row>
    <row r="20" spans="2:4" x14ac:dyDescent="0.25">
      <c r="B20" s="11" t="s">
        <v>25</v>
      </c>
    </row>
    <row r="21" spans="2:4" x14ac:dyDescent="0.25">
      <c r="B21" s="12" t="s">
        <v>26</v>
      </c>
      <c r="C21" s="34">
        <v>0.3</v>
      </c>
      <c r="D21" s="32" t="s">
        <v>27</v>
      </c>
    </row>
    <row r="22" spans="2:4" x14ac:dyDescent="0.25">
      <c r="B22" s="12" t="s">
        <v>28</v>
      </c>
      <c r="C22" s="34">
        <v>0.1</v>
      </c>
      <c r="D22" s="32" t="s">
        <v>29</v>
      </c>
    </row>
    <row r="23" spans="2:4" x14ac:dyDescent="0.25">
      <c r="B23" s="12" t="s">
        <v>30</v>
      </c>
      <c r="C23" s="34">
        <v>0.4</v>
      </c>
      <c r="D23" s="32" t="s">
        <v>31</v>
      </c>
    </row>
    <row r="24" spans="2:4" x14ac:dyDescent="0.25">
      <c r="B24" s="12" t="s">
        <v>32</v>
      </c>
      <c r="C24" s="33">
        <v>11000000</v>
      </c>
      <c r="D24" s="32" t="s">
        <v>33</v>
      </c>
    </row>
    <row r="25" spans="2:4" x14ac:dyDescent="0.25">
      <c r="B25" s="12" t="s">
        <v>34</v>
      </c>
      <c r="C25" s="33">
        <v>30000000</v>
      </c>
      <c r="D25" s="32" t="s">
        <v>35</v>
      </c>
    </row>
    <row r="26" spans="2:4" x14ac:dyDescent="0.25">
      <c r="B26" s="12" t="s">
        <v>36</v>
      </c>
      <c r="C26" s="33">
        <v>1000000</v>
      </c>
      <c r="D26" s="32" t="s">
        <v>37</v>
      </c>
    </row>
    <row r="27" spans="2:4" x14ac:dyDescent="0.25">
      <c r="B27" s="12" t="s">
        <v>38</v>
      </c>
      <c r="C27" s="35">
        <v>5</v>
      </c>
      <c r="D27" s="32" t="s">
        <v>39</v>
      </c>
    </row>
    <row r="29" spans="2:4" x14ac:dyDescent="0.25">
      <c r="B29" s="32" t="s">
        <v>40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11"/>
  <sheetViews>
    <sheetView showGridLines="0" workbookViewId="0">
      <selection activeCell="E7" sqref="E7:N7"/>
    </sheetView>
  </sheetViews>
  <sheetFormatPr baseColWidth="10" defaultColWidth="12.6640625" defaultRowHeight="13.8" x14ac:dyDescent="0.25"/>
  <cols>
    <col min="1" max="1" width="12.6640625" style="10"/>
    <col min="2" max="2" width="22.88671875" style="10" customWidth="1"/>
    <col min="3" max="3" width="15.21875" style="10" customWidth="1"/>
    <col min="4" max="8" width="12.6640625" style="10"/>
    <col min="9" max="9" width="15.44140625" style="10" customWidth="1"/>
    <col min="10" max="10" width="13.77734375" style="10" customWidth="1"/>
    <col min="11" max="11" width="14.77734375" style="10" customWidth="1"/>
    <col min="12" max="12" width="12.6640625" style="10"/>
    <col min="13" max="13" width="14.77734375" style="10" customWidth="1"/>
    <col min="14" max="14" width="14.5546875" style="10" customWidth="1"/>
    <col min="15" max="15" width="12.6640625" style="10"/>
    <col min="16" max="16" width="14" style="10" customWidth="1"/>
    <col min="17" max="18" width="12.6640625" style="10"/>
    <col min="19" max="19" width="14.6640625" style="10" customWidth="1"/>
    <col min="20" max="20" width="13.77734375" style="10" customWidth="1"/>
    <col min="21" max="21" width="15" style="10" customWidth="1"/>
    <col min="22" max="22" width="14" style="10" customWidth="1"/>
    <col min="23" max="23" width="14.77734375" style="10" customWidth="1"/>
    <col min="24" max="24" width="14.44140625" style="10" customWidth="1"/>
    <col min="25" max="25" width="14.109375" style="10" customWidth="1"/>
    <col min="26" max="26" width="14.21875" style="10" customWidth="1"/>
    <col min="27" max="16384" width="12.6640625" style="10"/>
  </cols>
  <sheetData>
    <row r="2" spans="2:26" ht="17.399999999999999" x14ac:dyDescent="0.3">
      <c r="B2" s="9" t="s">
        <v>41</v>
      </c>
    </row>
    <row r="4" spans="2:26" x14ac:dyDescent="0.25">
      <c r="B4" s="15" t="s">
        <v>42</v>
      </c>
      <c r="C4" s="16" t="s">
        <v>43</v>
      </c>
      <c r="D4" s="16" t="s">
        <v>44</v>
      </c>
      <c r="E4" s="16" t="s">
        <v>45</v>
      </c>
      <c r="F4" s="16" t="s">
        <v>46</v>
      </c>
      <c r="G4" s="16" t="s">
        <v>47</v>
      </c>
      <c r="H4" s="16" t="s">
        <v>48</v>
      </c>
      <c r="I4" s="16" t="s">
        <v>49</v>
      </c>
      <c r="J4" s="16" t="s">
        <v>50</v>
      </c>
      <c r="K4" s="16" t="s">
        <v>51</v>
      </c>
      <c r="L4" s="16" t="s">
        <v>52</v>
      </c>
      <c r="M4" s="16" t="s">
        <v>53</v>
      </c>
      <c r="N4" s="16" t="s">
        <v>54</v>
      </c>
      <c r="O4" s="16" t="s">
        <v>55</v>
      </c>
      <c r="P4" s="16" t="s">
        <v>56</v>
      </c>
      <c r="Q4" s="16" t="s">
        <v>57</v>
      </c>
      <c r="R4" s="16" t="s">
        <v>58</v>
      </c>
      <c r="S4" s="16" t="s">
        <v>59</v>
      </c>
      <c r="T4" s="16" t="s">
        <v>60</v>
      </c>
      <c r="U4" s="16" t="s">
        <v>61</v>
      </c>
      <c r="V4" s="16" t="s">
        <v>62</v>
      </c>
      <c r="W4" s="16" t="s">
        <v>63</v>
      </c>
      <c r="X4" s="16" t="s">
        <v>64</v>
      </c>
      <c r="Y4" s="16" t="s">
        <v>65</v>
      </c>
      <c r="Z4" s="16" t="s">
        <v>66</v>
      </c>
    </row>
    <row r="5" spans="2:26" x14ac:dyDescent="0.25">
      <c r="B5" s="12" t="s">
        <v>67</v>
      </c>
      <c r="C5" s="27">
        <v>0</v>
      </c>
      <c r="D5" s="27">
        <v>0</v>
      </c>
      <c r="E5" s="27">
        <v>3</v>
      </c>
      <c r="F5" s="27">
        <v>5</v>
      </c>
      <c r="G5" s="27">
        <v>7</v>
      </c>
      <c r="H5" s="27">
        <v>10</v>
      </c>
      <c r="I5" s="27">
        <v>12</v>
      </c>
      <c r="J5" s="27">
        <v>13</v>
      </c>
      <c r="K5" s="27">
        <v>15</v>
      </c>
      <c r="L5" s="27">
        <v>17</v>
      </c>
      <c r="M5" s="27">
        <v>20</v>
      </c>
      <c r="N5" s="27">
        <v>25</v>
      </c>
      <c r="O5" s="27">
        <v>25</v>
      </c>
      <c r="P5" s="27">
        <v>26</v>
      </c>
      <c r="Q5" s="27">
        <v>27</v>
      </c>
      <c r="R5" s="27">
        <v>28</v>
      </c>
      <c r="S5" s="27">
        <v>29</v>
      </c>
      <c r="T5" s="27">
        <v>30</v>
      </c>
      <c r="U5" s="27">
        <v>30</v>
      </c>
      <c r="V5" s="27">
        <v>30</v>
      </c>
      <c r="W5" s="27">
        <v>30</v>
      </c>
      <c r="X5" s="27">
        <v>30</v>
      </c>
      <c r="Y5" s="27">
        <v>30</v>
      </c>
      <c r="Z5" s="27">
        <v>30</v>
      </c>
    </row>
    <row r="6" spans="2:26" x14ac:dyDescent="0.25">
      <c r="B6" s="12" t="s">
        <v>68</v>
      </c>
      <c r="C6" s="28">
        <f>Hypothèses!$C$17</f>
        <v>90200</v>
      </c>
      <c r="D6" s="28">
        <f>Hypothèses!$C$17</f>
        <v>90200</v>
      </c>
      <c r="E6" s="28">
        <f>Hypothèses!$C$17</f>
        <v>90200</v>
      </c>
      <c r="F6" s="28">
        <f>Hypothèses!$C$17</f>
        <v>90200</v>
      </c>
      <c r="G6" s="28">
        <f>Hypothèses!$C$17</f>
        <v>90200</v>
      </c>
      <c r="H6" s="28">
        <f>Hypothèses!$C$17</f>
        <v>90200</v>
      </c>
      <c r="I6" s="28">
        <f>Hypothèses!$C$17</f>
        <v>90200</v>
      </c>
      <c r="J6" s="28">
        <f>Hypothèses!$C$17</f>
        <v>90200</v>
      </c>
      <c r="K6" s="28">
        <f>Hypothèses!$C$17</f>
        <v>90200</v>
      </c>
      <c r="L6" s="28">
        <f>Hypothèses!$C$17</f>
        <v>90200</v>
      </c>
      <c r="M6" s="28">
        <f>Hypothèses!$C$17</f>
        <v>90200</v>
      </c>
      <c r="N6" s="28">
        <f>Hypothèses!$C$17</f>
        <v>90200</v>
      </c>
      <c r="O6" s="28">
        <f>Hypothèses!$C$18</f>
        <v>86300</v>
      </c>
      <c r="P6" s="28">
        <f>Hypothèses!$C$18</f>
        <v>86300</v>
      </c>
      <c r="Q6" s="28">
        <f>Hypothèses!$C$18</f>
        <v>86300</v>
      </c>
      <c r="R6" s="28">
        <f>Hypothèses!$C$18</f>
        <v>86300</v>
      </c>
      <c r="S6" s="28">
        <f>Hypothèses!$C$18</f>
        <v>86300</v>
      </c>
      <c r="T6" s="28">
        <f>Hypothèses!$C$18</f>
        <v>86300</v>
      </c>
      <c r="U6" s="28">
        <f>Hypothèses!$C$18</f>
        <v>86300</v>
      </c>
      <c r="V6" s="28">
        <f>Hypothèses!$C$18</f>
        <v>86300</v>
      </c>
      <c r="W6" s="28">
        <f>Hypothèses!$C$18</f>
        <v>86300</v>
      </c>
      <c r="X6" s="28">
        <f>Hypothèses!$C$18</f>
        <v>86300</v>
      </c>
      <c r="Y6" s="28">
        <f>Hypothèses!$C$18</f>
        <v>86300</v>
      </c>
      <c r="Z6" s="28">
        <f>Hypothèses!$C$18</f>
        <v>86300</v>
      </c>
    </row>
    <row r="7" spans="2:26" x14ac:dyDescent="0.25">
      <c r="B7" s="13" t="s">
        <v>69</v>
      </c>
      <c r="C7" s="29">
        <f t="shared" ref="C7:Z7" si="0">C5*C6</f>
        <v>0</v>
      </c>
      <c r="D7" s="29">
        <f t="shared" si="0"/>
        <v>0</v>
      </c>
      <c r="E7" s="29">
        <f t="shared" si="0"/>
        <v>270600</v>
      </c>
      <c r="F7" s="29">
        <f t="shared" si="0"/>
        <v>451000</v>
      </c>
      <c r="G7" s="29">
        <f t="shared" si="0"/>
        <v>631400</v>
      </c>
      <c r="H7" s="29">
        <f t="shared" si="0"/>
        <v>902000</v>
      </c>
      <c r="I7" s="29">
        <f t="shared" si="0"/>
        <v>1082400</v>
      </c>
      <c r="J7" s="29">
        <f t="shared" si="0"/>
        <v>1172600</v>
      </c>
      <c r="K7" s="29">
        <f t="shared" si="0"/>
        <v>1353000</v>
      </c>
      <c r="L7" s="29">
        <f t="shared" si="0"/>
        <v>1533400</v>
      </c>
      <c r="M7" s="29">
        <f t="shared" si="0"/>
        <v>1804000</v>
      </c>
      <c r="N7" s="29">
        <f t="shared" si="0"/>
        <v>2255000</v>
      </c>
      <c r="O7" s="29">
        <f t="shared" si="0"/>
        <v>2157500</v>
      </c>
      <c r="P7" s="29">
        <f t="shared" si="0"/>
        <v>2243800</v>
      </c>
      <c r="Q7" s="29">
        <f t="shared" si="0"/>
        <v>2330100</v>
      </c>
      <c r="R7" s="29">
        <f t="shared" si="0"/>
        <v>2416400</v>
      </c>
      <c r="S7" s="29">
        <f t="shared" si="0"/>
        <v>2502700</v>
      </c>
      <c r="T7" s="29">
        <f t="shared" si="0"/>
        <v>2589000</v>
      </c>
      <c r="U7" s="29">
        <f t="shared" si="0"/>
        <v>2589000</v>
      </c>
      <c r="V7" s="29">
        <f t="shared" si="0"/>
        <v>2589000</v>
      </c>
      <c r="W7" s="29">
        <f t="shared" si="0"/>
        <v>2589000</v>
      </c>
      <c r="X7" s="29">
        <f t="shared" si="0"/>
        <v>2589000</v>
      </c>
      <c r="Y7" s="29">
        <f t="shared" si="0"/>
        <v>2589000</v>
      </c>
      <c r="Z7" s="29">
        <f t="shared" si="0"/>
        <v>2589000</v>
      </c>
    </row>
    <row r="9" spans="2:26" x14ac:dyDescent="0.25">
      <c r="B9" s="30" t="s">
        <v>70</v>
      </c>
      <c r="C9" s="31">
        <f>SUM(C7:N7)</f>
        <v>11455400</v>
      </c>
    </row>
    <row r="10" spans="2:26" x14ac:dyDescent="0.25">
      <c r="B10" s="30" t="s">
        <v>71</v>
      </c>
      <c r="C10" s="31">
        <f>SUM(O7:Z7)</f>
        <v>29773500</v>
      </c>
    </row>
    <row r="11" spans="2:26" x14ac:dyDescent="0.25">
      <c r="B11" s="30" t="s">
        <v>72</v>
      </c>
      <c r="C11" s="31">
        <f>C9+C10</f>
        <v>41228900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44"/>
  <sheetViews>
    <sheetView showGridLines="0" tabSelected="1" workbookViewId="0">
      <selection activeCell="C44" sqref="C44:E44"/>
    </sheetView>
  </sheetViews>
  <sheetFormatPr baseColWidth="10" defaultColWidth="8.88671875" defaultRowHeight="19.95" customHeight="1" x14ac:dyDescent="0.3"/>
  <cols>
    <col min="1" max="1" width="2" style="18" customWidth="1"/>
    <col min="2" max="2" width="53.6640625" style="18" customWidth="1"/>
    <col min="3" max="3" width="15.33203125" style="18" customWidth="1"/>
    <col min="4" max="4" width="13.44140625" style="18" customWidth="1"/>
    <col min="5" max="5" width="13.6640625" style="18" customWidth="1"/>
    <col min="6" max="6" width="14.44140625" style="18" customWidth="1"/>
    <col min="7" max="7" width="13.88671875" style="18" customWidth="1"/>
    <col min="8" max="8" width="13" style="18" customWidth="1"/>
    <col min="9" max="9" width="13.5546875" style="18" customWidth="1"/>
    <col min="10" max="10" width="12.109375" style="18" customWidth="1"/>
    <col min="11" max="11" width="12.88671875" style="18" customWidth="1"/>
    <col min="12" max="12" width="12.77734375" style="18" customWidth="1"/>
    <col min="13" max="13" width="12.5546875" style="18" customWidth="1"/>
    <col min="14" max="14" width="13" style="18" customWidth="1"/>
    <col min="15" max="15" width="13.109375" style="18" customWidth="1"/>
    <col min="16" max="16" width="12.88671875" style="18" customWidth="1"/>
    <col min="17" max="17" width="12.77734375" style="18" customWidth="1"/>
    <col min="18" max="18" width="13" style="18" customWidth="1"/>
    <col min="19" max="19" width="13.21875" style="18" customWidth="1"/>
    <col min="20" max="20" width="13.77734375" style="18" customWidth="1"/>
    <col min="21" max="21" width="13.6640625" style="18" customWidth="1"/>
    <col min="22" max="22" width="13.21875" style="18" customWidth="1"/>
    <col min="23" max="24" width="14.109375" style="18" customWidth="1"/>
    <col min="25" max="25" width="12.88671875" style="18" customWidth="1"/>
    <col min="26" max="26" width="13.88671875" style="18" customWidth="1"/>
    <col min="27" max="16384" width="8.88671875" style="18"/>
  </cols>
  <sheetData>
    <row r="2" spans="2:26" ht="19.95" customHeight="1" x14ac:dyDescent="0.3">
      <c r="B2" s="17" t="s">
        <v>73</v>
      </c>
    </row>
    <row r="4" spans="2:26" ht="19.95" customHeight="1" x14ac:dyDescent="0.3">
      <c r="B4" s="19" t="s">
        <v>74</v>
      </c>
    </row>
    <row r="5" spans="2:26" ht="19.95" customHeight="1" x14ac:dyDescent="0.3">
      <c r="B5" s="20" t="s">
        <v>132</v>
      </c>
      <c r="C5" s="21">
        <v>1500000</v>
      </c>
    </row>
    <row r="6" spans="2:26" ht="19.95" customHeight="1" x14ac:dyDescent="0.3">
      <c r="B6" s="20" t="s">
        <v>75</v>
      </c>
      <c r="C6" s="21">
        <v>666000</v>
      </c>
    </row>
    <row r="7" spans="2:26" ht="19.95" customHeight="1" x14ac:dyDescent="0.3">
      <c r="B7" s="20" t="s">
        <v>76</v>
      </c>
      <c r="C7" s="21">
        <v>300000</v>
      </c>
    </row>
    <row r="8" spans="2:26" ht="19.95" customHeight="1" x14ac:dyDescent="0.3">
      <c r="B8" s="20" t="s">
        <v>77</v>
      </c>
      <c r="C8" s="21">
        <v>700000</v>
      </c>
    </row>
    <row r="9" spans="2:26" ht="19.95" customHeight="1" x14ac:dyDescent="0.3">
      <c r="B9" s="20" t="s">
        <v>78</v>
      </c>
      <c r="C9" s="21">
        <v>1500000</v>
      </c>
    </row>
    <row r="10" spans="2:26" ht="19.95" customHeight="1" x14ac:dyDescent="0.3">
      <c r="B10" s="20" t="s">
        <v>79</v>
      </c>
      <c r="C10" s="21">
        <v>1500000</v>
      </c>
    </row>
    <row r="11" spans="2:26" ht="19.95" customHeight="1" x14ac:dyDescent="0.3">
      <c r="B11" s="20" t="s">
        <v>80</v>
      </c>
      <c r="C11" s="21">
        <v>460000</v>
      </c>
    </row>
    <row r="12" spans="2:26" ht="19.95" customHeight="1" x14ac:dyDescent="0.3">
      <c r="B12" s="20" t="s">
        <v>81</v>
      </c>
      <c r="C12" s="21">
        <v>350000</v>
      </c>
    </row>
    <row r="13" spans="2:26" ht="19.95" customHeight="1" x14ac:dyDescent="0.3">
      <c r="B13" s="22" t="s">
        <v>82</v>
      </c>
      <c r="C13" s="23">
        <f>SUM(C5:C12)</f>
        <v>6976000</v>
      </c>
    </row>
    <row r="15" spans="2:26" ht="19.95" customHeight="1" x14ac:dyDescent="0.3">
      <c r="B15" s="19" t="s">
        <v>83</v>
      </c>
    </row>
    <row r="16" spans="2:26" ht="19.95" customHeight="1" x14ac:dyDescent="0.3">
      <c r="B16" s="24" t="s">
        <v>84</v>
      </c>
      <c r="C16" s="25" t="s">
        <v>43</v>
      </c>
      <c r="D16" s="25" t="s">
        <v>44</v>
      </c>
      <c r="E16" s="25" t="s">
        <v>45</v>
      </c>
      <c r="F16" s="25" t="s">
        <v>46</v>
      </c>
      <c r="G16" s="25" t="s">
        <v>47</v>
      </c>
      <c r="H16" s="25" t="s">
        <v>48</v>
      </c>
      <c r="I16" s="25" t="s">
        <v>49</v>
      </c>
      <c r="J16" s="25" t="s">
        <v>50</v>
      </c>
      <c r="K16" s="25" t="s">
        <v>51</v>
      </c>
      <c r="L16" s="25" t="s">
        <v>52</v>
      </c>
      <c r="M16" s="25" t="s">
        <v>53</v>
      </c>
      <c r="N16" s="25" t="s">
        <v>54</v>
      </c>
      <c r="O16" s="25" t="s">
        <v>55</v>
      </c>
      <c r="P16" s="25" t="s">
        <v>56</v>
      </c>
      <c r="Q16" s="25" t="s">
        <v>57</v>
      </c>
      <c r="R16" s="25" t="s">
        <v>58</v>
      </c>
      <c r="S16" s="25" t="s">
        <v>59</v>
      </c>
      <c r="T16" s="25" t="s">
        <v>60</v>
      </c>
      <c r="U16" s="25" t="s">
        <v>61</v>
      </c>
      <c r="V16" s="25" t="s">
        <v>62</v>
      </c>
      <c r="W16" s="25" t="s">
        <v>63</v>
      </c>
      <c r="X16" s="25" t="s">
        <v>64</v>
      </c>
      <c r="Y16" s="25" t="s">
        <v>65</v>
      </c>
      <c r="Z16" s="25" t="s">
        <v>66</v>
      </c>
    </row>
    <row r="17" spans="2:26" ht="19.95" customHeight="1" x14ac:dyDescent="0.3">
      <c r="B17" s="26" t="s">
        <v>85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2:26" ht="19.95" customHeight="1" x14ac:dyDescent="0.3">
      <c r="B18" s="20" t="s">
        <v>133</v>
      </c>
      <c r="C18" s="21">
        <v>100000</v>
      </c>
      <c r="D18" s="21">
        <v>100000</v>
      </c>
      <c r="E18" s="21">
        <v>100000</v>
      </c>
      <c r="F18" s="21">
        <v>100000</v>
      </c>
      <c r="G18" s="21">
        <v>100000</v>
      </c>
      <c r="H18" s="21">
        <v>100000</v>
      </c>
      <c r="I18" s="21">
        <v>100000</v>
      </c>
      <c r="J18" s="21">
        <v>100000</v>
      </c>
      <c r="K18" s="21">
        <v>100000</v>
      </c>
      <c r="L18" s="21">
        <v>100000</v>
      </c>
      <c r="M18" s="21">
        <v>100000</v>
      </c>
      <c r="N18" s="21">
        <v>100000</v>
      </c>
      <c r="O18" s="21">
        <v>100000</v>
      </c>
      <c r="P18" s="21">
        <v>100000</v>
      </c>
      <c r="Q18" s="21">
        <v>100000</v>
      </c>
      <c r="R18" s="21">
        <v>100000</v>
      </c>
      <c r="S18" s="21">
        <v>100000</v>
      </c>
      <c r="T18" s="21">
        <v>100000</v>
      </c>
      <c r="U18" s="21">
        <v>100000</v>
      </c>
      <c r="V18" s="21">
        <v>100000</v>
      </c>
      <c r="W18" s="21">
        <v>100000</v>
      </c>
      <c r="X18" s="21">
        <v>100000</v>
      </c>
      <c r="Y18" s="21">
        <v>100000</v>
      </c>
      <c r="Z18" s="21">
        <v>100000</v>
      </c>
    </row>
    <row r="19" spans="2:26" ht="19.95" customHeight="1" x14ac:dyDescent="0.3">
      <c r="B19" s="20" t="s">
        <v>134</v>
      </c>
      <c r="C19" s="21">
        <v>100000</v>
      </c>
      <c r="D19" s="21">
        <v>100000</v>
      </c>
      <c r="E19" s="21">
        <v>100000</v>
      </c>
      <c r="F19" s="21">
        <v>100000</v>
      </c>
      <c r="G19" s="21">
        <v>100000</v>
      </c>
      <c r="H19" s="21">
        <v>100000</v>
      </c>
      <c r="I19" s="21">
        <v>100000</v>
      </c>
      <c r="J19" s="21">
        <v>100000</v>
      </c>
      <c r="K19" s="21">
        <v>100000</v>
      </c>
      <c r="L19" s="21">
        <v>100000</v>
      </c>
      <c r="M19" s="21">
        <v>100000</v>
      </c>
      <c r="N19" s="21">
        <v>100000</v>
      </c>
      <c r="O19" s="21">
        <v>100000</v>
      </c>
      <c r="P19" s="21">
        <v>100000</v>
      </c>
      <c r="Q19" s="21">
        <v>100000</v>
      </c>
      <c r="R19" s="21">
        <v>100000</v>
      </c>
      <c r="S19" s="21">
        <v>100000</v>
      </c>
      <c r="T19" s="21">
        <v>100000</v>
      </c>
      <c r="U19" s="21">
        <v>100000</v>
      </c>
      <c r="V19" s="21">
        <v>100000</v>
      </c>
      <c r="W19" s="21">
        <v>100000</v>
      </c>
      <c r="X19" s="21">
        <v>100000</v>
      </c>
      <c r="Y19" s="21">
        <v>100000</v>
      </c>
      <c r="Z19" s="21">
        <v>100000</v>
      </c>
    </row>
    <row r="20" spans="2:26" ht="19.95" customHeight="1" x14ac:dyDescent="0.3">
      <c r="B20" s="26" t="s">
        <v>135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2:26" ht="19.95" customHeight="1" x14ac:dyDescent="0.3">
      <c r="B21" s="20" t="s">
        <v>140</v>
      </c>
      <c r="C21" s="21">
        <v>15000</v>
      </c>
      <c r="D21" s="21">
        <v>15000</v>
      </c>
      <c r="E21" s="21">
        <v>15000</v>
      </c>
      <c r="F21" s="21">
        <v>15000</v>
      </c>
      <c r="G21" s="21">
        <v>15000</v>
      </c>
      <c r="H21" s="21">
        <v>15000</v>
      </c>
      <c r="I21" s="21">
        <v>15000</v>
      </c>
      <c r="J21" s="21">
        <v>15000</v>
      </c>
      <c r="K21" s="21">
        <v>15000</v>
      </c>
      <c r="L21" s="21">
        <v>15000</v>
      </c>
      <c r="M21" s="21">
        <v>15000</v>
      </c>
      <c r="N21" s="21">
        <v>15000</v>
      </c>
      <c r="O21" s="21">
        <v>15000</v>
      </c>
      <c r="P21" s="21">
        <v>15000</v>
      </c>
      <c r="Q21" s="21">
        <v>15000</v>
      </c>
      <c r="R21" s="21">
        <v>15000</v>
      </c>
      <c r="S21" s="21">
        <v>15000</v>
      </c>
      <c r="T21" s="21">
        <v>15000</v>
      </c>
      <c r="U21" s="21">
        <v>15000</v>
      </c>
      <c r="V21" s="21">
        <v>15000</v>
      </c>
      <c r="W21" s="21">
        <v>15000</v>
      </c>
      <c r="X21" s="21">
        <v>15000</v>
      </c>
      <c r="Y21" s="21">
        <v>15000</v>
      </c>
      <c r="Z21" s="21">
        <v>15000</v>
      </c>
    </row>
    <row r="22" spans="2:26" ht="19.95" customHeight="1" x14ac:dyDescent="0.3">
      <c r="B22" s="20" t="s">
        <v>139</v>
      </c>
      <c r="C22" s="21">
        <v>15000</v>
      </c>
      <c r="D22" s="21">
        <v>15000</v>
      </c>
      <c r="E22" s="21">
        <v>15000</v>
      </c>
      <c r="F22" s="21">
        <v>15000</v>
      </c>
      <c r="G22" s="21">
        <v>15000</v>
      </c>
      <c r="H22" s="21">
        <v>15000</v>
      </c>
      <c r="I22" s="21">
        <v>15000</v>
      </c>
      <c r="J22" s="21">
        <v>15000</v>
      </c>
      <c r="K22" s="21">
        <v>15000</v>
      </c>
      <c r="L22" s="21">
        <v>15000</v>
      </c>
      <c r="M22" s="21">
        <v>15000</v>
      </c>
      <c r="N22" s="21">
        <v>15000</v>
      </c>
      <c r="O22" s="21">
        <v>15000</v>
      </c>
      <c r="P22" s="21">
        <v>15000</v>
      </c>
      <c r="Q22" s="21">
        <v>15000</v>
      </c>
      <c r="R22" s="21">
        <v>15000</v>
      </c>
      <c r="S22" s="21">
        <v>15000</v>
      </c>
      <c r="T22" s="21">
        <v>15000</v>
      </c>
      <c r="U22" s="21">
        <v>15000</v>
      </c>
      <c r="V22" s="21">
        <v>15000</v>
      </c>
      <c r="W22" s="21">
        <v>15000</v>
      </c>
      <c r="X22" s="21">
        <v>15000</v>
      </c>
      <c r="Y22" s="21">
        <v>15000</v>
      </c>
      <c r="Z22" s="21">
        <v>15000</v>
      </c>
    </row>
    <row r="23" spans="2:26" ht="19.95" customHeight="1" x14ac:dyDescent="0.3">
      <c r="B23" s="20" t="s">
        <v>141</v>
      </c>
      <c r="C23" s="21">
        <v>25000</v>
      </c>
      <c r="D23" s="21">
        <v>25000</v>
      </c>
      <c r="E23" s="21">
        <v>25000</v>
      </c>
      <c r="F23" s="21">
        <v>25000</v>
      </c>
      <c r="G23" s="21">
        <v>25000</v>
      </c>
      <c r="H23" s="21">
        <v>25000</v>
      </c>
      <c r="I23" s="21">
        <v>25000</v>
      </c>
      <c r="J23" s="21">
        <v>25000</v>
      </c>
      <c r="K23" s="21">
        <v>25000</v>
      </c>
      <c r="L23" s="21">
        <v>25000</v>
      </c>
      <c r="M23" s="21">
        <v>25000</v>
      </c>
      <c r="N23" s="21">
        <v>25000</v>
      </c>
      <c r="O23" s="21">
        <v>25000</v>
      </c>
      <c r="P23" s="21">
        <v>25000</v>
      </c>
      <c r="Q23" s="21">
        <v>25000</v>
      </c>
      <c r="R23" s="21">
        <v>25000</v>
      </c>
      <c r="S23" s="21">
        <v>25000</v>
      </c>
      <c r="T23" s="21">
        <v>25000</v>
      </c>
      <c r="U23" s="21">
        <v>25000</v>
      </c>
      <c r="V23" s="21">
        <v>25000</v>
      </c>
      <c r="W23" s="21">
        <v>25000</v>
      </c>
      <c r="X23" s="21">
        <v>25000</v>
      </c>
      <c r="Y23" s="21">
        <v>25000</v>
      </c>
      <c r="Z23" s="21">
        <v>25000</v>
      </c>
    </row>
    <row r="24" spans="2:26" ht="19.95" customHeight="1" x14ac:dyDescent="0.3">
      <c r="B24" s="20" t="s">
        <v>142</v>
      </c>
      <c r="C24" s="21">
        <v>25000</v>
      </c>
      <c r="D24" s="21">
        <v>25000</v>
      </c>
      <c r="E24" s="21">
        <v>25000</v>
      </c>
      <c r="F24" s="21">
        <v>25000</v>
      </c>
      <c r="G24" s="21">
        <v>25000</v>
      </c>
      <c r="H24" s="21">
        <v>25000</v>
      </c>
      <c r="I24" s="21">
        <v>25000</v>
      </c>
      <c r="J24" s="21">
        <v>25000</v>
      </c>
      <c r="K24" s="21">
        <v>25000</v>
      </c>
      <c r="L24" s="21">
        <v>25000</v>
      </c>
      <c r="M24" s="21">
        <v>25000</v>
      </c>
      <c r="N24" s="21">
        <v>25000</v>
      </c>
      <c r="O24" s="21">
        <v>25000</v>
      </c>
      <c r="P24" s="21">
        <v>25000</v>
      </c>
      <c r="Q24" s="21">
        <v>25000</v>
      </c>
      <c r="R24" s="21">
        <v>25000</v>
      </c>
      <c r="S24" s="21">
        <v>25000</v>
      </c>
      <c r="T24" s="21">
        <v>25000</v>
      </c>
      <c r="U24" s="21">
        <v>25000</v>
      </c>
      <c r="V24" s="21">
        <v>25000</v>
      </c>
      <c r="W24" s="21">
        <v>25000</v>
      </c>
      <c r="X24" s="21">
        <v>25000</v>
      </c>
      <c r="Y24" s="21">
        <v>25000</v>
      </c>
      <c r="Z24" s="21">
        <v>25000</v>
      </c>
    </row>
    <row r="25" spans="2:26" ht="19.95" customHeight="1" x14ac:dyDescent="0.3">
      <c r="B25" s="20" t="s">
        <v>143</v>
      </c>
      <c r="C25" s="21">
        <v>10000</v>
      </c>
      <c r="D25" s="21">
        <v>10000</v>
      </c>
      <c r="E25" s="21">
        <v>10000</v>
      </c>
      <c r="F25" s="21">
        <v>10000</v>
      </c>
      <c r="G25" s="21">
        <v>10000</v>
      </c>
      <c r="H25" s="21">
        <v>10000</v>
      </c>
      <c r="I25" s="21">
        <v>10000</v>
      </c>
      <c r="J25" s="21">
        <v>10000</v>
      </c>
      <c r="K25" s="21">
        <v>10000</v>
      </c>
      <c r="L25" s="21">
        <v>10000</v>
      </c>
      <c r="M25" s="21">
        <v>10000</v>
      </c>
      <c r="N25" s="21">
        <v>10000</v>
      </c>
      <c r="O25" s="21">
        <v>10000</v>
      </c>
      <c r="P25" s="21">
        <v>10000</v>
      </c>
      <c r="Q25" s="21">
        <v>10000</v>
      </c>
      <c r="R25" s="21">
        <v>10000</v>
      </c>
      <c r="S25" s="21">
        <v>10000</v>
      </c>
      <c r="T25" s="21">
        <v>10000</v>
      </c>
      <c r="U25" s="21">
        <v>10000</v>
      </c>
      <c r="V25" s="21">
        <v>10000</v>
      </c>
      <c r="W25" s="21">
        <v>10000</v>
      </c>
      <c r="X25" s="21">
        <v>10000</v>
      </c>
      <c r="Y25" s="21">
        <v>10000</v>
      </c>
      <c r="Z25" s="21">
        <v>10000</v>
      </c>
    </row>
    <row r="26" spans="2:26" ht="19.95" customHeight="1" x14ac:dyDescent="0.3">
      <c r="B26" s="20" t="s">
        <v>144</v>
      </c>
      <c r="C26" s="21">
        <v>65000</v>
      </c>
      <c r="D26" s="21">
        <v>65000</v>
      </c>
      <c r="E26" s="21">
        <v>65000</v>
      </c>
      <c r="F26" s="21">
        <v>65000</v>
      </c>
      <c r="G26" s="21">
        <v>65000</v>
      </c>
      <c r="H26" s="21">
        <v>65000</v>
      </c>
      <c r="I26" s="21">
        <v>65000</v>
      </c>
      <c r="J26" s="21">
        <v>65000</v>
      </c>
      <c r="K26" s="21">
        <v>65000</v>
      </c>
      <c r="L26" s="21">
        <v>65000</v>
      </c>
      <c r="M26" s="21">
        <v>65000</v>
      </c>
      <c r="N26" s="21">
        <v>65000</v>
      </c>
      <c r="O26" s="21">
        <v>65000</v>
      </c>
      <c r="P26" s="21">
        <v>65000</v>
      </c>
      <c r="Q26" s="21">
        <v>65000</v>
      </c>
      <c r="R26" s="21">
        <v>65000</v>
      </c>
      <c r="S26" s="21">
        <v>65000</v>
      </c>
      <c r="T26" s="21">
        <v>65000</v>
      </c>
      <c r="U26" s="21">
        <v>65000</v>
      </c>
      <c r="V26" s="21">
        <v>65000</v>
      </c>
      <c r="W26" s="21">
        <v>65000</v>
      </c>
      <c r="X26" s="21">
        <v>65000</v>
      </c>
      <c r="Y26" s="21">
        <v>65000</v>
      </c>
      <c r="Z26" s="21">
        <v>65000</v>
      </c>
    </row>
    <row r="27" spans="2:26" ht="19.95" customHeight="1" x14ac:dyDescent="0.3">
      <c r="B27" s="20" t="s">
        <v>145</v>
      </c>
      <c r="C27" s="21">
        <v>2500</v>
      </c>
      <c r="D27" s="21">
        <v>2500</v>
      </c>
      <c r="E27" s="21">
        <v>2500</v>
      </c>
      <c r="F27" s="21">
        <v>2500</v>
      </c>
      <c r="G27" s="21">
        <v>2500</v>
      </c>
      <c r="H27" s="21">
        <v>2500</v>
      </c>
      <c r="I27" s="21">
        <v>2500</v>
      </c>
      <c r="J27" s="21">
        <v>2500</v>
      </c>
      <c r="K27" s="21">
        <v>2500</v>
      </c>
      <c r="L27" s="21">
        <v>2500</v>
      </c>
      <c r="M27" s="21">
        <v>2500</v>
      </c>
      <c r="N27" s="21">
        <v>2500</v>
      </c>
      <c r="O27" s="21">
        <v>2500</v>
      </c>
      <c r="P27" s="21">
        <v>2500</v>
      </c>
      <c r="Q27" s="21">
        <v>2500</v>
      </c>
      <c r="R27" s="21">
        <v>2500</v>
      </c>
      <c r="S27" s="21">
        <v>2500</v>
      </c>
      <c r="T27" s="21">
        <v>2500</v>
      </c>
      <c r="U27" s="21">
        <v>2500</v>
      </c>
      <c r="V27" s="21">
        <v>2500</v>
      </c>
      <c r="W27" s="21">
        <v>2500</v>
      </c>
      <c r="X27" s="21">
        <v>2500</v>
      </c>
      <c r="Y27" s="21">
        <v>2500</v>
      </c>
      <c r="Z27" s="21">
        <v>2500</v>
      </c>
    </row>
    <row r="28" spans="2:26" ht="19.95" customHeight="1" x14ac:dyDescent="0.3">
      <c r="B28" s="26" t="s">
        <v>136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2:26" ht="19.95" customHeight="1" x14ac:dyDescent="0.3">
      <c r="B29" s="20" t="s">
        <v>146</v>
      </c>
      <c r="C29" s="21">
        <v>100000</v>
      </c>
      <c r="D29" s="21">
        <v>100000</v>
      </c>
      <c r="E29" s="21">
        <v>100000</v>
      </c>
      <c r="F29" s="21">
        <v>100000</v>
      </c>
      <c r="G29" s="21">
        <v>100000</v>
      </c>
      <c r="H29" s="21">
        <v>100000</v>
      </c>
      <c r="I29" s="21">
        <v>100000</v>
      </c>
      <c r="J29" s="21">
        <v>100000</v>
      </c>
      <c r="K29" s="21">
        <v>100000</v>
      </c>
      <c r="L29" s="21">
        <v>100000</v>
      </c>
      <c r="M29" s="21">
        <v>100000</v>
      </c>
      <c r="N29" s="21">
        <v>100000</v>
      </c>
      <c r="O29" s="21">
        <v>100000</v>
      </c>
      <c r="P29" s="21">
        <v>100000</v>
      </c>
      <c r="Q29" s="21">
        <v>100000</v>
      </c>
      <c r="R29" s="21">
        <v>100000</v>
      </c>
      <c r="S29" s="21">
        <v>100000</v>
      </c>
      <c r="T29" s="21">
        <v>100000</v>
      </c>
      <c r="U29" s="21">
        <v>100000</v>
      </c>
      <c r="V29" s="21">
        <v>100000</v>
      </c>
      <c r="W29" s="21">
        <v>100000</v>
      </c>
      <c r="X29" s="21">
        <v>100000</v>
      </c>
      <c r="Y29" s="21">
        <v>100000</v>
      </c>
      <c r="Z29" s="21">
        <v>100000</v>
      </c>
    </row>
    <row r="30" spans="2:26" ht="19.95" customHeight="1" x14ac:dyDescent="0.3">
      <c r="B30" s="20" t="s">
        <v>147</v>
      </c>
      <c r="C30" s="21">
        <v>75000</v>
      </c>
      <c r="D30" s="21">
        <v>75000</v>
      </c>
      <c r="E30" s="21">
        <v>75000</v>
      </c>
      <c r="F30" s="21">
        <v>75000</v>
      </c>
      <c r="G30" s="21">
        <v>75000</v>
      </c>
      <c r="H30" s="21">
        <v>75000</v>
      </c>
      <c r="I30" s="21">
        <v>75000</v>
      </c>
      <c r="J30" s="21">
        <v>75000</v>
      </c>
      <c r="K30" s="21">
        <v>75000</v>
      </c>
      <c r="L30" s="21">
        <v>75000</v>
      </c>
      <c r="M30" s="21">
        <v>75000</v>
      </c>
      <c r="N30" s="21">
        <v>75000</v>
      </c>
      <c r="O30" s="21">
        <v>75000</v>
      </c>
      <c r="P30" s="21">
        <v>75000</v>
      </c>
      <c r="Q30" s="21">
        <v>75000</v>
      </c>
      <c r="R30" s="21">
        <v>75000</v>
      </c>
      <c r="S30" s="21">
        <v>75000</v>
      </c>
      <c r="T30" s="21">
        <v>75000</v>
      </c>
      <c r="U30" s="21">
        <v>75000</v>
      </c>
      <c r="V30" s="21">
        <v>75000</v>
      </c>
      <c r="W30" s="21">
        <v>75000</v>
      </c>
      <c r="X30" s="21">
        <v>75000</v>
      </c>
      <c r="Y30" s="21">
        <v>75000</v>
      </c>
      <c r="Z30" s="21">
        <v>75000</v>
      </c>
    </row>
    <row r="31" spans="2:26" ht="19.95" customHeight="1" x14ac:dyDescent="0.3">
      <c r="B31" s="20" t="s">
        <v>148</v>
      </c>
      <c r="C31" s="21">
        <v>75000</v>
      </c>
      <c r="D31" s="21">
        <v>75000</v>
      </c>
      <c r="E31" s="21">
        <v>75000</v>
      </c>
      <c r="F31" s="21">
        <v>75000</v>
      </c>
      <c r="G31" s="21">
        <v>75000</v>
      </c>
      <c r="H31" s="21">
        <v>75000</v>
      </c>
      <c r="I31" s="21">
        <v>75000</v>
      </c>
      <c r="J31" s="21">
        <v>75000</v>
      </c>
      <c r="K31" s="21">
        <v>75000</v>
      </c>
      <c r="L31" s="21">
        <v>75000</v>
      </c>
      <c r="M31" s="21">
        <v>75000</v>
      </c>
      <c r="N31" s="21">
        <v>75000</v>
      </c>
      <c r="O31" s="21">
        <v>75000</v>
      </c>
      <c r="P31" s="21">
        <v>75000</v>
      </c>
      <c r="Q31" s="21">
        <v>75000</v>
      </c>
      <c r="R31" s="21">
        <v>75000</v>
      </c>
      <c r="S31" s="21">
        <v>75000</v>
      </c>
      <c r="T31" s="21">
        <v>75000</v>
      </c>
      <c r="U31" s="21">
        <v>75000</v>
      </c>
      <c r="V31" s="21">
        <v>75000</v>
      </c>
      <c r="W31" s="21">
        <v>75000</v>
      </c>
      <c r="X31" s="21">
        <v>75000</v>
      </c>
      <c r="Y31" s="21">
        <v>75000</v>
      </c>
      <c r="Z31" s="21">
        <v>75000</v>
      </c>
    </row>
    <row r="32" spans="2:26" ht="19.95" customHeight="1" x14ac:dyDescent="0.3">
      <c r="B32" s="20" t="s">
        <v>149</v>
      </c>
      <c r="C32" s="21">
        <v>50000</v>
      </c>
      <c r="D32" s="21">
        <v>50000</v>
      </c>
      <c r="E32" s="21">
        <v>50000</v>
      </c>
      <c r="F32" s="21">
        <v>50000</v>
      </c>
      <c r="G32" s="21">
        <v>50000</v>
      </c>
      <c r="H32" s="21">
        <v>50000</v>
      </c>
      <c r="I32" s="21">
        <v>50000</v>
      </c>
      <c r="J32" s="21">
        <v>50000</v>
      </c>
      <c r="K32" s="21">
        <v>50000</v>
      </c>
      <c r="L32" s="21">
        <v>50000</v>
      </c>
      <c r="M32" s="21">
        <v>50000</v>
      </c>
      <c r="N32" s="21">
        <v>50000</v>
      </c>
      <c r="O32" s="21">
        <v>50000</v>
      </c>
      <c r="P32" s="21">
        <v>50000</v>
      </c>
      <c r="Q32" s="21">
        <v>50000</v>
      </c>
      <c r="R32" s="21">
        <v>50000</v>
      </c>
      <c r="S32" s="21">
        <v>50000</v>
      </c>
      <c r="T32" s="21">
        <v>50000</v>
      </c>
      <c r="U32" s="21">
        <v>50000</v>
      </c>
      <c r="V32" s="21">
        <v>50000</v>
      </c>
      <c r="W32" s="21">
        <v>50000</v>
      </c>
      <c r="X32" s="21">
        <v>50000</v>
      </c>
      <c r="Y32" s="21">
        <v>50000</v>
      </c>
      <c r="Z32" s="21">
        <v>50000</v>
      </c>
    </row>
    <row r="33" spans="2:26" ht="19.95" customHeight="1" x14ac:dyDescent="0.3">
      <c r="B33" s="20" t="s">
        <v>150</v>
      </c>
      <c r="C33" s="21"/>
      <c r="D33" s="21"/>
      <c r="E33" s="21"/>
      <c r="F33" s="21"/>
      <c r="G33" s="21"/>
      <c r="H33" s="21">
        <v>200000</v>
      </c>
      <c r="I33" s="21">
        <v>200000</v>
      </c>
      <c r="J33" s="21">
        <v>200000</v>
      </c>
      <c r="K33" s="21">
        <v>200000</v>
      </c>
      <c r="L33" s="21">
        <v>200000</v>
      </c>
      <c r="M33" s="21">
        <v>200000</v>
      </c>
      <c r="N33" s="21">
        <v>200000</v>
      </c>
      <c r="O33" s="21">
        <v>200000</v>
      </c>
      <c r="P33" s="21">
        <v>200000</v>
      </c>
      <c r="Q33" s="21">
        <v>200000</v>
      </c>
      <c r="R33" s="21">
        <v>200000</v>
      </c>
      <c r="S33" s="21">
        <v>200000</v>
      </c>
      <c r="T33" s="21">
        <v>200000</v>
      </c>
      <c r="U33" s="21">
        <v>200000</v>
      </c>
      <c r="V33" s="21">
        <v>200000</v>
      </c>
      <c r="W33" s="21">
        <v>200000</v>
      </c>
      <c r="X33" s="21">
        <v>200000</v>
      </c>
      <c r="Y33" s="21">
        <v>200000</v>
      </c>
      <c r="Z33" s="21">
        <v>200000</v>
      </c>
    </row>
    <row r="34" spans="2:26" ht="19.95" customHeight="1" x14ac:dyDescent="0.3">
      <c r="B34" s="26" t="s">
        <v>137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2:26" ht="19.95" customHeight="1" x14ac:dyDescent="0.3">
      <c r="B35" s="20" t="s">
        <v>151</v>
      </c>
      <c r="C35" s="21">
        <v>100000</v>
      </c>
      <c r="D35" s="21">
        <v>100000</v>
      </c>
      <c r="E35" s="21">
        <v>100000</v>
      </c>
      <c r="F35" s="21">
        <v>100000</v>
      </c>
      <c r="G35" s="21">
        <v>100000</v>
      </c>
      <c r="H35" s="21">
        <v>100000</v>
      </c>
      <c r="I35" s="21">
        <v>100000</v>
      </c>
      <c r="J35" s="21">
        <v>100000</v>
      </c>
      <c r="K35" s="21">
        <v>100000</v>
      </c>
      <c r="L35" s="21">
        <v>100000</v>
      </c>
      <c r="M35" s="21">
        <v>100000</v>
      </c>
      <c r="N35" s="21">
        <v>100000</v>
      </c>
      <c r="O35" s="21">
        <v>100000</v>
      </c>
      <c r="P35" s="21">
        <v>100000</v>
      </c>
      <c r="Q35" s="21">
        <v>100000</v>
      </c>
      <c r="R35" s="21">
        <v>100000</v>
      </c>
      <c r="S35" s="21">
        <v>100000</v>
      </c>
      <c r="T35" s="21">
        <v>100000</v>
      </c>
      <c r="U35" s="21">
        <v>100000</v>
      </c>
      <c r="V35" s="21">
        <v>100000</v>
      </c>
      <c r="W35" s="21">
        <v>100000</v>
      </c>
      <c r="X35" s="21">
        <v>100000</v>
      </c>
      <c r="Y35" s="21">
        <v>100000</v>
      </c>
      <c r="Z35" s="21">
        <v>100000</v>
      </c>
    </row>
    <row r="36" spans="2:26" ht="19.95" customHeight="1" x14ac:dyDescent="0.3">
      <c r="B36" s="20" t="s">
        <v>152</v>
      </c>
      <c r="C36" s="21">
        <v>30000</v>
      </c>
      <c r="D36" s="21">
        <v>30000</v>
      </c>
      <c r="E36" s="21">
        <v>30000</v>
      </c>
      <c r="F36" s="21">
        <v>30000</v>
      </c>
      <c r="G36" s="21">
        <v>30000</v>
      </c>
      <c r="H36" s="21">
        <v>30000</v>
      </c>
      <c r="I36" s="21">
        <v>30000</v>
      </c>
      <c r="J36" s="21">
        <v>30000</v>
      </c>
      <c r="K36" s="21">
        <v>30000</v>
      </c>
      <c r="L36" s="21">
        <v>30000</v>
      </c>
      <c r="M36" s="21">
        <v>30000</v>
      </c>
      <c r="N36" s="21">
        <v>30000</v>
      </c>
      <c r="O36" s="21">
        <v>30000</v>
      </c>
      <c r="P36" s="21">
        <v>30000</v>
      </c>
      <c r="Q36" s="21">
        <v>30000</v>
      </c>
      <c r="R36" s="21">
        <v>30000</v>
      </c>
      <c r="S36" s="21">
        <v>30000</v>
      </c>
      <c r="T36" s="21">
        <v>30000</v>
      </c>
      <c r="U36" s="21">
        <v>30000</v>
      </c>
      <c r="V36" s="21">
        <v>30000</v>
      </c>
      <c r="W36" s="21">
        <v>30000</v>
      </c>
      <c r="X36" s="21">
        <v>30000</v>
      </c>
      <c r="Y36" s="21">
        <v>30000</v>
      </c>
      <c r="Z36" s="21">
        <v>30000</v>
      </c>
    </row>
    <row r="37" spans="2:26" ht="19.95" customHeight="1" x14ac:dyDescent="0.3">
      <c r="B37" s="20" t="s">
        <v>153</v>
      </c>
      <c r="C37" s="21">
        <v>200000</v>
      </c>
      <c r="D37" s="21">
        <v>200000</v>
      </c>
      <c r="E37" s="21">
        <v>200000</v>
      </c>
      <c r="F37" s="21">
        <v>200000</v>
      </c>
      <c r="G37" s="21">
        <v>200000</v>
      </c>
      <c r="H37" s="21">
        <v>200000</v>
      </c>
      <c r="I37" s="21">
        <v>200000</v>
      </c>
      <c r="J37" s="21">
        <v>200000</v>
      </c>
      <c r="K37" s="21">
        <v>200000</v>
      </c>
      <c r="L37" s="21">
        <v>200000</v>
      </c>
      <c r="M37" s="21">
        <v>200000</v>
      </c>
      <c r="N37" s="21">
        <v>200000</v>
      </c>
      <c r="O37" s="21">
        <v>200000</v>
      </c>
      <c r="P37" s="21">
        <v>200000</v>
      </c>
      <c r="Q37" s="21">
        <v>200000</v>
      </c>
      <c r="R37" s="21">
        <v>200000</v>
      </c>
      <c r="S37" s="21">
        <v>200000</v>
      </c>
      <c r="T37" s="21">
        <v>200000</v>
      </c>
      <c r="U37" s="21">
        <v>200000</v>
      </c>
      <c r="V37" s="21">
        <v>200000</v>
      </c>
      <c r="W37" s="21">
        <v>200000</v>
      </c>
      <c r="X37" s="21">
        <v>200000</v>
      </c>
      <c r="Y37" s="21">
        <v>200000</v>
      </c>
      <c r="Z37" s="21">
        <v>200000</v>
      </c>
    </row>
    <row r="38" spans="2:26" ht="19.95" customHeight="1" x14ac:dyDescent="0.3">
      <c r="B38" s="20" t="s">
        <v>154</v>
      </c>
      <c r="C38" s="21">
        <v>1000000</v>
      </c>
      <c r="D38" s="21">
        <v>1000000</v>
      </c>
      <c r="E38" s="21">
        <v>1000000</v>
      </c>
      <c r="F38" s="21">
        <v>1000000</v>
      </c>
      <c r="G38" s="21">
        <v>1000000</v>
      </c>
      <c r="H38" s="21">
        <v>1000000</v>
      </c>
      <c r="I38" s="21">
        <v>500000</v>
      </c>
      <c r="J38" s="21">
        <v>500000</v>
      </c>
      <c r="K38" s="21">
        <v>500000</v>
      </c>
      <c r="L38" s="21">
        <v>500000</v>
      </c>
      <c r="M38" s="21">
        <v>500000</v>
      </c>
      <c r="N38" s="21">
        <v>500000</v>
      </c>
      <c r="O38" s="21">
        <v>500000</v>
      </c>
      <c r="P38" s="21">
        <v>500000</v>
      </c>
      <c r="Q38" s="21">
        <v>500000</v>
      </c>
      <c r="R38" s="21">
        <v>500000</v>
      </c>
      <c r="S38" s="21">
        <v>500000</v>
      </c>
      <c r="T38" s="21">
        <v>500000</v>
      </c>
      <c r="U38" s="21">
        <v>500000</v>
      </c>
      <c r="V38" s="21">
        <v>500000</v>
      </c>
      <c r="W38" s="21">
        <v>500000</v>
      </c>
      <c r="X38" s="21">
        <v>500000</v>
      </c>
      <c r="Y38" s="21">
        <v>500000</v>
      </c>
      <c r="Z38" s="21">
        <v>500000</v>
      </c>
    </row>
    <row r="39" spans="2:26" ht="19.95" customHeight="1" x14ac:dyDescent="0.3">
      <c r="B39" s="20" t="s">
        <v>155</v>
      </c>
      <c r="C39" s="21">
        <v>100000</v>
      </c>
      <c r="D39" s="21">
        <v>100000</v>
      </c>
      <c r="E39" s="21">
        <v>100000</v>
      </c>
      <c r="F39" s="21">
        <v>100000</v>
      </c>
      <c r="G39" s="21">
        <v>100000</v>
      </c>
      <c r="H39" s="21">
        <v>100000</v>
      </c>
      <c r="I39" s="21">
        <v>100000</v>
      </c>
      <c r="J39" s="21">
        <v>100000</v>
      </c>
      <c r="K39" s="21">
        <v>100000</v>
      </c>
      <c r="L39" s="21">
        <v>100000</v>
      </c>
      <c r="M39" s="21">
        <v>100000</v>
      </c>
      <c r="N39" s="21">
        <v>100000</v>
      </c>
      <c r="O39" s="21">
        <v>100000</v>
      </c>
      <c r="P39" s="21">
        <v>100000</v>
      </c>
      <c r="Q39" s="21">
        <v>100000</v>
      </c>
      <c r="R39" s="21">
        <v>100000</v>
      </c>
      <c r="S39" s="21">
        <v>100000</v>
      </c>
      <c r="T39" s="21">
        <v>100000</v>
      </c>
      <c r="U39" s="21">
        <v>100000</v>
      </c>
      <c r="V39" s="21">
        <v>100000</v>
      </c>
      <c r="W39" s="21">
        <v>100000</v>
      </c>
      <c r="X39" s="21">
        <v>100000</v>
      </c>
      <c r="Y39" s="21">
        <v>100000</v>
      </c>
      <c r="Z39" s="21">
        <v>100000</v>
      </c>
    </row>
    <row r="40" spans="2:26" ht="19.95" customHeight="1" x14ac:dyDescent="0.3">
      <c r="B40" s="26" t="s">
        <v>138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2:26" ht="19.95" customHeight="1" x14ac:dyDescent="0.3">
      <c r="B41" s="20" t="s">
        <v>86</v>
      </c>
      <c r="C41" s="21">
        <v>77000</v>
      </c>
      <c r="D41" s="21">
        <v>77000</v>
      </c>
      <c r="E41" s="21">
        <v>77000</v>
      </c>
      <c r="F41" s="21">
        <v>77000</v>
      </c>
      <c r="G41" s="21">
        <v>77000</v>
      </c>
      <c r="H41" s="21">
        <v>77000</v>
      </c>
      <c r="I41" s="21">
        <v>77000</v>
      </c>
      <c r="J41" s="21">
        <v>77000</v>
      </c>
      <c r="K41" s="21">
        <v>77000</v>
      </c>
      <c r="L41" s="21">
        <v>77000</v>
      </c>
      <c r="M41" s="21">
        <v>77000</v>
      </c>
      <c r="N41" s="21">
        <v>77000</v>
      </c>
      <c r="O41" s="21">
        <v>82000</v>
      </c>
      <c r="P41" s="21">
        <v>82000</v>
      </c>
      <c r="Q41" s="21">
        <v>82000</v>
      </c>
      <c r="R41" s="21">
        <v>82000</v>
      </c>
      <c r="S41" s="21">
        <v>82000</v>
      </c>
      <c r="T41" s="21">
        <v>82000</v>
      </c>
      <c r="U41" s="21">
        <v>82000</v>
      </c>
      <c r="V41" s="21">
        <v>82000</v>
      </c>
      <c r="W41" s="21">
        <v>82000</v>
      </c>
      <c r="X41" s="21">
        <v>82000</v>
      </c>
      <c r="Y41" s="21">
        <v>82000</v>
      </c>
      <c r="Z41" s="21">
        <v>82000</v>
      </c>
    </row>
    <row r="42" spans="2:26" ht="19.95" customHeight="1" x14ac:dyDescent="0.3">
      <c r="B42" s="20" t="s">
        <v>87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200000</v>
      </c>
      <c r="U42" s="21">
        <v>200000</v>
      </c>
      <c r="V42" s="21">
        <v>200000</v>
      </c>
      <c r="W42" s="21">
        <v>200000</v>
      </c>
      <c r="X42" s="21">
        <v>200000</v>
      </c>
      <c r="Y42" s="21">
        <v>200000</v>
      </c>
      <c r="Z42" s="21">
        <v>200000</v>
      </c>
    </row>
    <row r="43" spans="2:26" ht="19.95" customHeight="1" x14ac:dyDescent="0.3">
      <c r="B43" s="20" t="s">
        <v>88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125000</v>
      </c>
      <c r="U43" s="21">
        <v>125000</v>
      </c>
      <c r="V43" s="21">
        <v>125000</v>
      </c>
      <c r="W43" s="21">
        <v>125000</v>
      </c>
      <c r="X43" s="21">
        <v>125000</v>
      </c>
      <c r="Y43" s="21">
        <v>125000</v>
      </c>
      <c r="Z43" s="21">
        <v>125000</v>
      </c>
    </row>
    <row r="44" spans="2:26" ht="19.95" customHeight="1" x14ac:dyDescent="0.3">
      <c r="B44" s="22" t="s">
        <v>89</v>
      </c>
      <c r="C44" s="23">
        <f>SUM(C17:C43)</f>
        <v>2164500</v>
      </c>
      <c r="D44" s="23">
        <f t="shared" ref="C44:Z44" si="0">SUM(D17:D43)</f>
        <v>2164500</v>
      </c>
      <c r="E44" s="23">
        <f t="shared" si="0"/>
        <v>2164500</v>
      </c>
      <c r="F44" s="23">
        <f t="shared" si="0"/>
        <v>2164500</v>
      </c>
      <c r="G44" s="23">
        <f t="shared" si="0"/>
        <v>2164500</v>
      </c>
      <c r="H44" s="23">
        <f t="shared" si="0"/>
        <v>2364500</v>
      </c>
      <c r="I44" s="23">
        <f t="shared" si="0"/>
        <v>1864500</v>
      </c>
      <c r="J44" s="23">
        <f t="shared" si="0"/>
        <v>1864500</v>
      </c>
      <c r="K44" s="23">
        <f t="shared" si="0"/>
        <v>1864500</v>
      </c>
      <c r="L44" s="23">
        <f t="shared" si="0"/>
        <v>1864500</v>
      </c>
      <c r="M44" s="23">
        <f t="shared" si="0"/>
        <v>1864500</v>
      </c>
      <c r="N44" s="23">
        <f t="shared" si="0"/>
        <v>1864500</v>
      </c>
      <c r="O44" s="23">
        <f t="shared" si="0"/>
        <v>1869500</v>
      </c>
      <c r="P44" s="23">
        <f t="shared" si="0"/>
        <v>1869500</v>
      </c>
      <c r="Q44" s="23">
        <f t="shared" si="0"/>
        <v>1869500</v>
      </c>
      <c r="R44" s="23">
        <f t="shared" si="0"/>
        <v>1869500</v>
      </c>
      <c r="S44" s="23">
        <f t="shared" si="0"/>
        <v>1869500</v>
      </c>
      <c r="T44" s="23">
        <f t="shared" si="0"/>
        <v>2194500</v>
      </c>
      <c r="U44" s="23">
        <f t="shared" si="0"/>
        <v>2194500</v>
      </c>
      <c r="V44" s="23">
        <f t="shared" si="0"/>
        <v>2194500</v>
      </c>
      <c r="W44" s="23">
        <f t="shared" si="0"/>
        <v>2194500</v>
      </c>
      <c r="X44" s="23">
        <f t="shared" si="0"/>
        <v>2194500</v>
      </c>
      <c r="Y44" s="23">
        <f t="shared" si="0"/>
        <v>2194500</v>
      </c>
      <c r="Z44" s="23">
        <f t="shared" si="0"/>
        <v>2194500</v>
      </c>
    </row>
  </sheetData>
  <mergeCells count="5">
    <mergeCell ref="B17:Z17"/>
    <mergeCell ref="B20:Z20"/>
    <mergeCell ref="B28:Z28"/>
    <mergeCell ref="B34:Z34"/>
    <mergeCell ref="B40:Z40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4"/>
  <sheetViews>
    <sheetView showGridLines="0" workbookViewId="0">
      <selection activeCell="D25" sqref="B18:D25"/>
    </sheetView>
  </sheetViews>
  <sheetFormatPr baseColWidth="10" defaultColWidth="8.88671875" defaultRowHeight="13.8" x14ac:dyDescent="0.25"/>
  <cols>
    <col min="1" max="1" width="2" style="10" customWidth="1"/>
    <col min="2" max="2" width="30" style="10" customWidth="1"/>
    <col min="3" max="3" width="16.109375" style="10" customWidth="1"/>
    <col min="4" max="4" width="16.77734375" style="10" customWidth="1"/>
    <col min="5" max="5" width="14.21875" style="10" customWidth="1"/>
    <col min="6" max="6" width="14.33203125" style="10" customWidth="1"/>
    <col min="7" max="7" width="14.21875" style="10" customWidth="1"/>
    <col min="8" max="8" width="14.6640625" style="10" customWidth="1"/>
    <col min="9" max="9" width="15.109375" style="10" customWidth="1"/>
    <col min="10" max="10" width="15.21875" style="10" customWidth="1"/>
    <col min="11" max="11" width="16.33203125" style="10" customWidth="1"/>
    <col min="12" max="12" width="13.88671875" style="10" customWidth="1"/>
    <col min="13" max="13" width="14.109375" style="10" customWidth="1"/>
    <col min="14" max="14" width="14.44140625" style="10" customWidth="1"/>
    <col min="15" max="26" width="11" style="10" customWidth="1"/>
    <col min="27" max="16384" width="8.88671875" style="10"/>
  </cols>
  <sheetData>
    <row r="2" spans="2:26" ht="17.399999999999999" x14ac:dyDescent="0.3">
      <c r="B2" s="9" t="s">
        <v>90</v>
      </c>
    </row>
    <row r="4" spans="2:26" x14ac:dyDescent="0.25">
      <c r="B4" s="15" t="s">
        <v>91</v>
      </c>
      <c r="C4" s="16" t="s">
        <v>43</v>
      </c>
      <c r="D4" s="16" t="s">
        <v>44</v>
      </c>
      <c r="E4" s="16" t="s">
        <v>45</v>
      </c>
      <c r="F4" s="16" t="s">
        <v>46</v>
      </c>
      <c r="G4" s="16" t="s">
        <v>47</v>
      </c>
      <c r="H4" s="16" t="s">
        <v>48</v>
      </c>
      <c r="I4" s="16" t="s">
        <v>49</v>
      </c>
      <c r="J4" s="16" t="s">
        <v>50</v>
      </c>
      <c r="K4" s="16" t="s">
        <v>51</v>
      </c>
      <c r="L4" s="16" t="s">
        <v>52</v>
      </c>
      <c r="M4" s="16" t="s">
        <v>53</v>
      </c>
      <c r="N4" s="16" t="s">
        <v>54</v>
      </c>
      <c r="O4" s="16" t="s">
        <v>55</v>
      </c>
      <c r="P4" s="16" t="s">
        <v>56</v>
      </c>
      <c r="Q4" s="16" t="s">
        <v>57</v>
      </c>
      <c r="R4" s="16" t="s">
        <v>58</v>
      </c>
      <c r="S4" s="16" t="s">
        <v>59</v>
      </c>
      <c r="T4" s="16" t="s">
        <v>60</v>
      </c>
      <c r="U4" s="16" t="s">
        <v>61</v>
      </c>
      <c r="V4" s="16" t="s">
        <v>62</v>
      </c>
      <c r="W4" s="16" t="s">
        <v>63</v>
      </c>
      <c r="X4" s="16" t="s">
        <v>64</v>
      </c>
      <c r="Y4" s="16" t="s">
        <v>65</v>
      </c>
      <c r="Z4" s="16" t="s">
        <v>66</v>
      </c>
    </row>
    <row r="5" spans="2:26" x14ac:dyDescent="0.25">
      <c r="B5" s="12" t="s">
        <v>92</v>
      </c>
      <c r="C5" s="36">
        <f>Recettes!C7</f>
        <v>0</v>
      </c>
      <c r="D5" s="36">
        <f>Recettes!D7</f>
        <v>0</v>
      </c>
      <c r="E5" s="36">
        <f>Recettes!E7</f>
        <v>270600</v>
      </c>
      <c r="F5" s="36">
        <f>Recettes!F7</f>
        <v>451000</v>
      </c>
      <c r="G5" s="36">
        <f>Recettes!G7</f>
        <v>631400</v>
      </c>
      <c r="H5" s="36">
        <f>Recettes!H7</f>
        <v>902000</v>
      </c>
      <c r="I5" s="36">
        <f>Recettes!I7</f>
        <v>1082400</v>
      </c>
      <c r="J5" s="36">
        <f>Recettes!J7</f>
        <v>1172600</v>
      </c>
      <c r="K5" s="36">
        <f>Recettes!K7</f>
        <v>1353000</v>
      </c>
      <c r="L5" s="36">
        <f>Recettes!L7</f>
        <v>1533400</v>
      </c>
      <c r="M5" s="36">
        <f>Recettes!M7</f>
        <v>1804000</v>
      </c>
      <c r="N5" s="36">
        <f>Recettes!N7</f>
        <v>2255000</v>
      </c>
      <c r="O5" s="36">
        <f>Recettes!O7</f>
        <v>2157500</v>
      </c>
      <c r="P5" s="36">
        <f>Recettes!P7</f>
        <v>2243800</v>
      </c>
      <c r="Q5" s="36">
        <f>Recettes!Q7</f>
        <v>2330100</v>
      </c>
      <c r="R5" s="36">
        <f>Recettes!R7</f>
        <v>2416400</v>
      </c>
      <c r="S5" s="36">
        <f>Recettes!S7</f>
        <v>2502700</v>
      </c>
      <c r="T5" s="36">
        <f>Recettes!T7</f>
        <v>2589000</v>
      </c>
      <c r="U5" s="36">
        <f>Recettes!U7</f>
        <v>2589000</v>
      </c>
      <c r="V5" s="36">
        <f>Recettes!V7</f>
        <v>2589000</v>
      </c>
      <c r="W5" s="36">
        <f>Recettes!W7</f>
        <v>2589000</v>
      </c>
      <c r="X5" s="36">
        <f>Recettes!X7</f>
        <v>2589000</v>
      </c>
      <c r="Y5" s="36">
        <f>Recettes!Y7</f>
        <v>2589000</v>
      </c>
      <c r="Z5" s="36">
        <f>Recettes!Z7</f>
        <v>2589000</v>
      </c>
    </row>
    <row r="6" spans="2:26" x14ac:dyDescent="0.25">
      <c r="B6" s="12" t="s">
        <v>93</v>
      </c>
      <c r="C6" s="36">
        <f>-Charges!$C$13</f>
        <v>-6976000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0</v>
      </c>
    </row>
    <row r="7" spans="2:26" x14ac:dyDescent="0.25">
      <c r="B7" s="12" t="s">
        <v>94</v>
      </c>
      <c r="C7" s="36">
        <f>-Charges!C44</f>
        <v>-2164500</v>
      </c>
      <c r="D7" s="36">
        <f>-Charges!D44</f>
        <v>-2164500</v>
      </c>
      <c r="E7" s="36">
        <f>-Charges!E44</f>
        <v>-2164500</v>
      </c>
      <c r="F7" s="36">
        <f>-Charges!F44</f>
        <v>-2164500</v>
      </c>
      <c r="G7" s="36">
        <f>-Charges!G44</f>
        <v>-2164500</v>
      </c>
      <c r="H7" s="36">
        <f>-Charges!H44</f>
        <v>-2364500</v>
      </c>
      <c r="I7" s="36">
        <f>-Charges!I44</f>
        <v>-1864500</v>
      </c>
      <c r="J7" s="36">
        <f>-Charges!J44</f>
        <v>-1864500</v>
      </c>
      <c r="K7" s="36">
        <f>-Charges!K44</f>
        <v>-1864500</v>
      </c>
      <c r="L7" s="36">
        <f>-Charges!L44</f>
        <v>-1864500</v>
      </c>
      <c r="M7" s="36">
        <f>-Charges!M44</f>
        <v>-1864500</v>
      </c>
      <c r="N7" s="36">
        <f>-Charges!N44</f>
        <v>-1864500</v>
      </c>
      <c r="O7" s="36">
        <f>-Charges!O44</f>
        <v>-1869500</v>
      </c>
      <c r="P7" s="36">
        <f>-Charges!P44</f>
        <v>-1869500</v>
      </c>
      <c r="Q7" s="36">
        <f>-Charges!Q44</f>
        <v>-1869500</v>
      </c>
      <c r="R7" s="36">
        <f>-Charges!R44</f>
        <v>-1869500</v>
      </c>
      <c r="S7" s="36">
        <f>-Charges!S44</f>
        <v>-1869500</v>
      </c>
      <c r="T7" s="36">
        <f>-Charges!T44</f>
        <v>-2194500</v>
      </c>
      <c r="U7" s="36">
        <f>-Charges!U44</f>
        <v>-2194500</v>
      </c>
      <c r="V7" s="36">
        <f>-Charges!V44</f>
        <v>-2194500</v>
      </c>
      <c r="W7" s="36">
        <f>-Charges!W44</f>
        <v>-2194500</v>
      </c>
      <c r="X7" s="36">
        <f>-Charges!X44</f>
        <v>-2194500</v>
      </c>
      <c r="Y7" s="36">
        <f>-Charges!Y44</f>
        <v>-2194500</v>
      </c>
      <c r="Z7" s="36">
        <f>-Charges!Z44</f>
        <v>-2194500</v>
      </c>
    </row>
    <row r="8" spans="2:26" x14ac:dyDescent="0.25">
      <c r="B8" s="13" t="s">
        <v>95</v>
      </c>
      <c r="C8" s="14">
        <f t="shared" ref="C8:Z8" si="0">C5+C6+C7</f>
        <v>-9140500</v>
      </c>
      <c r="D8" s="14">
        <f t="shared" si="0"/>
        <v>-2164500</v>
      </c>
      <c r="E8" s="14">
        <f t="shared" si="0"/>
        <v>-1893900</v>
      </c>
      <c r="F8" s="14">
        <f t="shared" si="0"/>
        <v>-1713500</v>
      </c>
      <c r="G8" s="14">
        <f t="shared" si="0"/>
        <v>-1533100</v>
      </c>
      <c r="H8" s="14">
        <f t="shared" si="0"/>
        <v>-1462500</v>
      </c>
      <c r="I8" s="14">
        <f t="shared" si="0"/>
        <v>-782100</v>
      </c>
      <c r="J8" s="14">
        <f t="shared" si="0"/>
        <v>-691900</v>
      </c>
      <c r="K8" s="14">
        <f t="shared" si="0"/>
        <v>-511500</v>
      </c>
      <c r="L8" s="14">
        <f t="shared" si="0"/>
        <v>-331100</v>
      </c>
      <c r="M8" s="14">
        <f t="shared" si="0"/>
        <v>-60500</v>
      </c>
      <c r="N8" s="14">
        <f t="shared" si="0"/>
        <v>390500</v>
      </c>
      <c r="O8" s="14">
        <f t="shared" si="0"/>
        <v>288000</v>
      </c>
      <c r="P8" s="14">
        <f t="shared" si="0"/>
        <v>374300</v>
      </c>
      <c r="Q8" s="14">
        <f t="shared" si="0"/>
        <v>460600</v>
      </c>
      <c r="R8" s="14">
        <f t="shared" si="0"/>
        <v>546900</v>
      </c>
      <c r="S8" s="14">
        <f t="shared" si="0"/>
        <v>633200</v>
      </c>
      <c r="T8" s="14">
        <f t="shared" si="0"/>
        <v>394500</v>
      </c>
      <c r="U8" s="14">
        <f t="shared" si="0"/>
        <v>394500</v>
      </c>
      <c r="V8" s="14">
        <f t="shared" si="0"/>
        <v>394500</v>
      </c>
      <c r="W8" s="14">
        <f t="shared" si="0"/>
        <v>394500</v>
      </c>
      <c r="X8" s="14">
        <f t="shared" si="0"/>
        <v>394500</v>
      </c>
      <c r="Y8" s="14">
        <f t="shared" si="0"/>
        <v>394500</v>
      </c>
      <c r="Z8" s="14">
        <f t="shared" si="0"/>
        <v>394500</v>
      </c>
    </row>
    <row r="10" spans="2:26" x14ac:dyDescent="0.25">
      <c r="B10" s="12" t="s">
        <v>96</v>
      </c>
      <c r="C10" s="36">
        <f>Hypothèses!$C$24</f>
        <v>11000000</v>
      </c>
      <c r="D10" s="36">
        <f t="shared" ref="D10:Z10" si="1">C11</f>
        <v>1859500</v>
      </c>
      <c r="E10" s="36">
        <f t="shared" si="1"/>
        <v>-305000</v>
      </c>
      <c r="F10" s="36">
        <f t="shared" si="1"/>
        <v>-2198900</v>
      </c>
      <c r="G10" s="36">
        <f t="shared" si="1"/>
        <v>-3912400</v>
      </c>
      <c r="H10" s="36">
        <f t="shared" si="1"/>
        <v>-5445500</v>
      </c>
      <c r="I10" s="36">
        <f t="shared" si="1"/>
        <v>-6908000</v>
      </c>
      <c r="J10" s="36">
        <f t="shared" si="1"/>
        <v>-7690100</v>
      </c>
      <c r="K10" s="36">
        <f t="shared" si="1"/>
        <v>-8382000</v>
      </c>
      <c r="L10" s="36">
        <f t="shared" si="1"/>
        <v>-8893500</v>
      </c>
      <c r="M10" s="36">
        <f t="shared" si="1"/>
        <v>-9224600</v>
      </c>
      <c r="N10" s="36">
        <f t="shared" si="1"/>
        <v>-9285100</v>
      </c>
      <c r="O10" s="36">
        <f t="shared" si="1"/>
        <v>-8894600</v>
      </c>
      <c r="P10" s="36">
        <f t="shared" si="1"/>
        <v>-8606600</v>
      </c>
      <c r="Q10" s="36">
        <f t="shared" si="1"/>
        <v>-8232300</v>
      </c>
      <c r="R10" s="36">
        <f t="shared" si="1"/>
        <v>-7771700</v>
      </c>
      <c r="S10" s="36">
        <f t="shared" si="1"/>
        <v>-7224800</v>
      </c>
      <c r="T10" s="36">
        <f t="shared" si="1"/>
        <v>-6591600</v>
      </c>
      <c r="U10" s="36">
        <f t="shared" si="1"/>
        <v>-6197100</v>
      </c>
      <c r="V10" s="36">
        <f t="shared" si="1"/>
        <v>-5802600</v>
      </c>
      <c r="W10" s="36">
        <f t="shared" si="1"/>
        <v>-5408100</v>
      </c>
      <c r="X10" s="36">
        <f t="shared" si="1"/>
        <v>-5013600</v>
      </c>
      <c r="Y10" s="36">
        <f t="shared" si="1"/>
        <v>-4619100</v>
      </c>
      <c r="Z10" s="36">
        <f t="shared" si="1"/>
        <v>-4224600</v>
      </c>
    </row>
    <row r="11" spans="2:26" x14ac:dyDescent="0.25">
      <c r="B11" s="30" t="s">
        <v>97</v>
      </c>
      <c r="C11" s="31">
        <f t="shared" ref="C11:Z11" si="2">C10+C8</f>
        <v>1859500</v>
      </c>
      <c r="D11" s="31">
        <f t="shared" si="2"/>
        <v>-305000</v>
      </c>
      <c r="E11" s="31">
        <f t="shared" si="2"/>
        <v>-2198900</v>
      </c>
      <c r="F11" s="31">
        <f t="shared" si="2"/>
        <v>-3912400</v>
      </c>
      <c r="G11" s="31">
        <f t="shared" si="2"/>
        <v>-5445500</v>
      </c>
      <c r="H11" s="31">
        <f t="shared" si="2"/>
        <v>-6908000</v>
      </c>
      <c r="I11" s="31">
        <f t="shared" si="2"/>
        <v>-7690100</v>
      </c>
      <c r="J11" s="31">
        <f t="shared" si="2"/>
        <v>-8382000</v>
      </c>
      <c r="K11" s="31">
        <f t="shared" si="2"/>
        <v>-8893500</v>
      </c>
      <c r="L11" s="31">
        <f t="shared" si="2"/>
        <v>-9224600</v>
      </c>
      <c r="M11" s="31">
        <f t="shared" si="2"/>
        <v>-9285100</v>
      </c>
      <c r="N11" s="31">
        <f t="shared" si="2"/>
        <v>-8894600</v>
      </c>
      <c r="O11" s="31">
        <f t="shared" si="2"/>
        <v>-8606600</v>
      </c>
      <c r="P11" s="31">
        <f t="shared" si="2"/>
        <v>-8232300</v>
      </c>
      <c r="Q11" s="31">
        <f t="shared" si="2"/>
        <v>-7771700</v>
      </c>
      <c r="R11" s="31">
        <f t="shared" si="2"/>
        <v>-7224800</v>
      </c>
      <c r="S11" s="31">
        <f t="shared" si="2"/>
        <v>-6591600</v>
      </c>
      <c r="T11" s="31">
        <f t="shared" si="2"/>
        <v>-6197100</v>
      </c>
      <c r="U11" s="31">
        <f t="shared" si="2"/>
        <v>-5802600</v>
      </c>
      <c r="V11" s="31">
        <f t="shared" si="2"/>
        <v>-5408100</v>
      </c>
      <c r="W11" s="31">
        <f t="shared" si="2"/>
        <v>-5013600</v>
      </c>
      <c r="X11" s="31">
        <f t="shared" si="2"/>
        <v>-4619100</v>
      </c>
      <c r="Y11" s="31">
        <f t="shared" si="2"/>
        <v>-4224600</v>
      </c>
      <c r="Z11" s="31">
        <f t="shared" si="2"/>
        <v>-3830100</v>
      </c>
    </row>
    <row r="13" spans="2:26" x14ac:dyDescent="0.25">
      <c r="B13" s="11" t="s">
        <v>98</v>
      </c>
    </row>
    <row r="14" spans="2:26" x14ac:dyDescent="0.25">
      <c r="B14" s="10" t="s">
        <v>99</v>
      </c>
      <c r="C14" s="37">
        <f>SUM(C5:N5)</f>
        <v>11455400</v>
      </c>
    </row>
    <row r="15" spans="2:26" x14ac:dyDescent="0.25">
      <c r="B15" s="10" t="s">
        <v>100</v>
      </c>
      <c r="C15" s="37">
        <f>SUM(O5:Z5)</f>
        <v>29773500</v>
      </c>
    </row>
    <row r="16" spans="2:26" x14ac:dyDescent="0.25">
      <c r="B16" s="10" t="s">
        <v>101</v>
      </c>
      <c r="C16" s="37">
        <f>-SUM(C6:N7)</f>
        <v>31350000</v>
      </c>
    </row>
    <row r="17" spans="2:3" x14ac:dyDescent="0.25">
      <c r="B17" s="10" t="s">
        <v>102</v>
      </c>
      <c r="C17" s="37">
        <f>-SUM(O6:Z7)</f>
        <v>24709000</v>
      </c>
    </row>
    <row r="18" spans="2:3" x14ac:dyDescent="0.25">
      <c r="B18" s="10" t="s">
        <v>103</v>
      </c>
      <c r="C18" s="31">
        <f>C14-C16</f>
        <v>-19894600</v>
      </c>
    </row>
    <row r="19" spans="2:3" x14ac:dyDescent="0.25">
      <c r="B19" s="10" t="s">
        <v>104</v>
      </c>
      <c r="C19" s="31">
        <f>C15-C17</f>
        <v>5064500</v>
      </c>
    </row>
    <row r="20" spans="2:3" x14ac:dyDescent="0.25">
      <c r="B20" s="10" t="s">
        <v>105</v>
      </c>
      <c r="C20" s="37">
        <f>-Hypothèses!$C$21*MAX(0,C19)</f>
        <v>-1519350</v>
      </c>
    </row>
    <row r="21" spans="2:3" x14ac:dyDescent="0.25">
      <c r="B21" s="10" t="s">
        <v>106</v>
      </c>
      <c r="C21" s="14">
        <f>C19+C20</f>
        <v>3545150</v>
      </c>
    </row>
    <row r="23" spans="2:3" x14ac:dyDescent="0.25">
      <c r="B23" s="10" t="s">
        <v>107</v>
      </c>
      <c r="C23" s="37">
        <f>N11</f>
        <v>-8894600</v>
      </c>
    </row>
    <row r="24" spans="2:3" x14ac:dyDescent="0.25">
      <c r="B24" s="10" t="s">
        <v>108</v>
      </c>
      <c r="C24" s="37">
        <f>Z11</f>
        <v>-3830100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48" customWidth="1"/>
    <col min="3" max="3" width="18" customWidth="1"/>
    <col min="4" max="4" width="44" customWidth="1"/>
  </cols>
  <sheetData>
    <row r="2" spans="2:4" ht="17.399999999999999" x14ac:dyDescent="0.3">
      <c r="B2" s="1" t="s">
        <v>109</v>
      </c>
    </row>
    <row r="3" spans="2:4" x14ac:dyDescent="0.3">
      <c r="B3" s="2" t="s">
        <v>110</v>
      </c>
    </row>
    <row r="5" spans="2:4" x14ac:dyDescent="0.3">
      <c r="B5" s="3" t="s">
        <v>111</v>
      </c>
      <c r="C5" s="7">
        <f>Hypothèses!$C$26/Hypothèses!$C$25</f>
        <v>3.3333333333333333E-2</v>
      </c>
      <c r="D5" s="2" t="s">
        <v>112</v>
      </c>
    </row>
    <row r="7" spans="2:4" x14ac:dyDescent="0.3">
      <c r="B7" s="3" t="s">
        <v>113</v>
      </c>
      <c r="C7" s="4">
        <f>'P&amp;L 24 mois'!C21</f>
        <v>3545150</v>
      </c>
      <c r="D7" s="2" t="s">
        <v>114</v>
      </c>
    </row>
    <row r="8" spans="2:4" x14ac:dyDescent="0.3">
      <c r="B8" s="3" t="s">
        <v>115</v>
      </c>
      <c r="C8" s="4">
        <f>Hypothèses!$C$23*MAX(0,'P&amp;L 24 mois'!C21)</f>
        <v>1418060</v>
      </c>
      <c r="D8" s="2" t="s">
        <v>116</v>
      </c>
    </row>
    <row r="9" spans="2:4" x14ac:dyDescent="0.3">
      <c r="B9" s="3" t="s">
        <v>117</v>
      </c>
      <c r="C9" s="4">
        <f>C5*C8</f>
        <v>47268.666666666664</v>
      </c>
      <c r="D9" s="2" t="s">
        <v>118</v>
      </c>
    </row>
    <row r="10" spans="2:4" x14ac:dyDescent="0.3">
      <c r="B10" s="3" t="s">
        <v>119</v>
      </c>
      <c r="C10" s="4">
        <f>C9*(1-Hypothèses!$C$22)</f>
        <v>42541.799999999996</v>
      </c>
      <c r="D10" s="2" t="s">
        <v>120</v>
      </c>
    </row>
    <row r="12" spans="2:4" x14ac:dyDescent="0.3">
      <c r="B12" s="3" t="s">
        <v>121</v>
      </c>
      <c r="C12" s="4">
        <f>C10*3.5</f>
        <v>148896.29999999999</v>
      </c>
      <c r="D12" s="2" t="s">
        <v>122</v>
      </c>
    </row>
    <row r="14" spans="2:4" x14ac:dyDescent="0.3">
      <c r="B14" s="3" t="s">
        <v>123</v>
      </c>
      <c r="C14" s="4">
        <f>Hypothèses!$C$27*MAX(0,'P&amp;L 24 mois'!C21)</f>
        <v>17725750</v>
      </c>
      <c r="D14" s="2" t="s">
        <v>124</v>
      </c>
    </row>
    <row r="15" spans="2:4" x14ac:dyDescent="0.3">
      <c r="B15" s="3" t="s">
        <v>125</v>
      </c>
      <c r="C15" s="4">
        <f>C5*C14</f>
        <v>590858.33333333337</v>
      </c>
      <c r="D15" s="2" t="s">
        <v>126</v>
      </c>
    </row>
    <row r="17" spans="2:4" x14ac:dyDescent="0.3">
      <c r="B17" s="3" t="s">
        <v>127</v>
      </c>
      <c r="C17" s="4">
        <f>Hypothèses!$C$26</f>
        <v>1000000</v>
      </c>
      <c r="D17" s="2"/>
    </row>
    <row r="18" spans="2:4" x14ac:dyDescent="0.3">
      <c r="B18" s="5" t="s">
        <v>128</v>
      </c>
      <c r="C18" s="6">
        <f>C12+C15</f>
        <v>739754.6333333333</v>
      </c>
      <c r="D18" s="2" t="s">
        <v>129</v>
      </c>
    </row>
    <row r="19" spans="2:4" x14ac:dyDescent="0.3">
      <c r="B19" s="5" t="s">
        <v>130</v>
      </c>
      <c r="C19" s="8">
        <f>(C12+C15)/C17-1</f>
        <v>-0.26024536666666664</v>
      </c>
      <c r="D19" s="2"/>
    </row>
    <row r="21" spans="2:4" x14ac:dyDescent="0.3">
      <c r="B21" s="2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Hypothèses</vt:lpstr>
      <vt:lpstr>Recettes</vt:lpstr>
      <vt:lpstr>Charges</vt:lpstr>
      <vt:lpstr>P&amp;L 24 mois</vt:lpstr>
      <vt:lpstr>Investisseur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2026-07-24T20:52:51Z</dcterms:created>
  <dcterms:modified xsi:type="dcterms:W3CDTF">2026-07-24T23:21:42Z</dcterms:modified>
</cp:coreProperties>
</file>