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RENCE\TamCar\App\"/>
    </mc:Choice>
  </mc:AlternateContent>
  <bookViews>
    <workbookView xWindow="0" yWindow="0" windowWidth="10260" windowHeight="7752" activeTab="3"/>
  </bookViews>
  <sheets>
    <sheet name="Hypotheses" sheetId="1" r:id="rId1"/>
    <sheet name="Recettes" sheetId="2" r:id="rId2"/>
    <sheet name="Charges" sheetId="3" r:id="rId3"/>
    <sheet name="P&amp;L 24 mois" sheetId="4" r:id="rId4"/>
    <sheet name="Investisseur" sheetId="5" r:id="rId5"/>
  </sheets>
  <calcPr calcId="162913"/>
</workbook>
</file>

<file path=xl/calcChain.xml><?xml version="1.0" encoding="utf-8"?>
<calcChain xmlns="http://schemas.openxmlformats.org/spreadsheetml/2006/main">
  <c r="C3" i="5" l="1"/>
  <c r="C22" i="4"/>
  <c r="C19" i="4"/>
  <c r="C18" i="4"/>
  <c r="C17" i="4"/>
  <c r="C16" i="4"/>
  <c r="C15" i="4"/>
  <c r="C14" i="4"/>
  <c r="C13" i="4"/>
  <c r="C12" i="4"/>
  <c r="E8" i="4"/>
  <c r="F8" i="4"/>
  <c r="G7" i="4" s="1"/>
  <c r="G8" i="4" s="1"/>
  <c r="H7" i="4" s="1"/>
  <c r="H8" i="4" s="1"/>
  <c r="I7" i="4" s="1"/>
  <c r="I8" i="4" s="1"/>
  <c r="J7" i="4" s="1"/>
  <c r="J8" i="4" s="1"/>
  <c r="K7" i="4" s="1"/>
  <c r="K8" i="4" s="1"/>
  <c r="L7" i="4" s="1"/>
  <c r="L8" i="4" s="1"/>
  <c r="M7" i="4" s="1"/>
  <c r="M8" i="4" s="1"/>
  <c r="N7" i="4" s="1"/>
  <c r="N8" i="4" s="1"/>
  <c r="O7" i="4" s="1"/>
  <c r="O8" i="4" s="1"/>
  <c r="P7" i="4" s="1"/>
  <c r="P8" i="4" s="1"/>
  <c r="Q7" i="4" s="1"/>
  <c r="Q8" i="4" s="1"/>
  <c r="R7" i="4" s="1"/>
  <c r="R8" i="4" s="1"/>
  <c r="S7" i="4" s="1"/>
  <c r="S8" i="4" s="1"/>
  <c r="T7" i="4" s="1"/>
  <c r="T8" i="4" s="1"/>
  <c r="U7" i="4" s="1"/>
  <c r="U8" i="4" s="1"/>
  <c r="V7" i="4" s="1"/>
  <c r="V8" i="4" s="1"/>
  <c r="W7" i="4" s="1"/>
  <c r="W8" i="4" s="1"/>
  <c r="X7" i="4" s="1"/>
  <c r="X8" i="4" s="1"/>
  <c r="Y7" i="4" s="1"/>
  <c r="Y8" i="4" s="1"/>
  <c r="Z7" i="4" s="1"/>
  <c r="Z8" i="4" s="1"/>
  <c r="F7" i="4"/>
  <c r="E7" i="4"/>
  <c r="L5" i="4"/>
  <c r="L6" i="4" s="1"/>
  <c r="M5" i="4"/>
  <c r="M6" i="4" s="1"/>
  <c r="N5" i="4"/>
  <c r="N6" i="4" s="1"/>
  <c r="O5" i="4"/>
  <c r="P5" i="4"/>
  <c r="P6" i="4" s="1"/>
  <c r="Q5" i="4"/>
  <c r="R5" i="4"/>
  <c r="R6" i="4" s="1"/>
  <c r="S5" i="4"/>
  <c r="S6" i="4" s="1"/>
  <c r="T5" i="4"/>
  <c r="T6" i="4" s="1"/>
  <c r="U5" i="4"/>
  <c r="U6" i="4" s="1"/>
  <c r="V5" i="4"/>
  <c r="V6" i="4" s="1"/>
  <c r="W5" i="4"/>
  <c r="X5" i="4"/>
  <c r="X6" i="4" s="1"/>
  <c r="Y5" i="4"/>
  <c r="Z5" i="4"/>
  <c r="Z6" i="4" s="1"/>
  <c r="F5" i="4"/>
  <c r="F6" i="4" s="1"/>
  <c r="G5" i="4"/>
  <c r="H5" i="4"/>
  <c r="I5" i="4"/>
  <c r="J5" i="4"/>
  <c r="K5" i="4"/>
  <c r="K6" i="4" s="1"/>
  <c r="E5" i="4"/>
  <c r="E6" i="4" s="1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E3" i="4"/>
  <c r="D8" i="4"/>
  <c r="D7" i="4"/>
  <c r="D5" i="4"/>
  <c r="D6" i="4" s="1"/>
  <c r="C8" i="4"/>
  <c r="C6" i="4"/>
  <c r="C5" i="4"/>
  <c r="C4" i="4"/>
  <c r="G6" i="4"/>
  <c r="H6" i="4"/>
  <c r="I6" i="4"/>
  <c r="J6" i="4"/>
  <c r="O6" i="4"/>
  <c r="Q6" i="4"/>
  <c r="W6" i="4"/>
  <c r="Y6" i="4"/>
  <c r="D3" i="4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C8" i="2" s="1"/>
  <c r="W5" i="2"/>
  <c r="X5" i="2"/>
  <c r="Y5" i="2"/>
  <c r="Z5" i="2"/>
  <c r="D5" i="2"/>
  <c r="C7" i="2" s="1"/>
  <c r="C36" i="3"/>
  <c r="C35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C33" i="3"/>
  <c r="C10" i="3"/>
  <c r="D7" i="1"/>
  <c r="C9" i="2" l="1"/>
</calcChain>
</file>

<file path=xl/sharedStrings.xml><?xml version="1.0" encoding="utf-8"?>
<sst xmlns="http://schemas.openxmlformats.org/spreadsheetml/2006/main" count="187" uniqueCount="138">
  <si>
    <t>TamCar - Budget 24 mois - HYPOTHESES (v3, option B : rester a 11 M)</t>
  </si>
  <si>
    <t>Discipline marketing stricte + ramp vehicules accelere. Valeurs verifiees.</t>
  </si>
  <si>
    <t>A - Productivite d'un vehicule</t>
  </si>
  <si>
    <t>Prix moyen d'une course</t>
  </si>
  <si>
    <t>Decision 2026-07</t>
  </si>
  <si>
    <t>Courses / jour / vehicule</t>
  </si>
  <si>
    <t>Voiture &amp; tricycle (moto = plus)</t>
  </si>
  <si>
    <t>Jours actifs / mois</t>
  </si>
  <si>
    <t>Semaine de 6 jours</t>
  </si>
  <si>
    <t>Volume de courses / veh / mois</t>
  </si>
  <si>
    <t>B - Repartition (split 40/10/30/20)</t>
  </si>
  <si>
    <t>Part plateforme (directe)</t>
  </si>
  <si>
    <t>Part fonds rachat</t>
  </si>
  <si>
    <t>Part plateforme du rachat - An 1</t>
  </si>
  <si>
    <t>Degressif</t>
  </si>
  <si>
    <t>Part plateforme du rachat - An 2</t>
  </si>
  <si>
    <t>Assurance conducteur / veh / mois</t>
  </si>
  <si>
    <t>Revenu TamCar</t>
  </si>
  <si>
    <t>Revenu plateforme / veh / mois - An 1</t>
  </si>
  <si>
    <t>20% vol + 30% rachat + assurance</t>
  </si>
  <si>
    <t>Revenu plateforme / veh / mois - An 2</t>
  </si>
  <si>
    <t>20% vol + 20% rachat + assurance</t>
  </si>
  <si>
    <t>C - Responsable Operations (NOUVEAU)</t>
  </si>
  <si>
    <t>Remuneration RO</t>
  </si>
  <si>
    <t>3% des courses terminees</t>
  </si>
  <si>
    <t>Plancher 150 000 F/mois</t>
  </si>
  <si>
    <t>RO - cout total 24 mois</t>
  </si>
  <si>
    <t>Variable, suit le volume</t>
  </si>
  <si>
    <t>D - Fiscalite &amp; capital</t>
  </si>
  <si>
    <t>Impot sur les societes (IS)</t>
  </si>
  <si>
    <t>Retenue IRCM sur dividendes</t>
  </si>
  <si>
    <t>Taux de distribution dividendes</t>
  </si>
  <si>
    <t>Tresorerie de depart</t>
  </si>
  <si>
    <t>Levee 10 M + reliquat (option B : inchangee)</t>
  </si>
  <si>
    <t>Capital social total</t>
  </si>
  <si>
    <t>20 M apport IP + 10 M numeraire</t>
  </si>
  <si>
    <t>Multiple de valorisation (sortie An 5)</t>
  </si>
  <si>
    <t>x resultat net An 2</t>
  </si>
  <si>
    <t>Recettes plateforme - 24 mois</t>
  </si>
  <si>
    <t>Ligne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</si>
  <si>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</si>
  <si>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</si>
  <si>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</si>
  <si>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</si>
  <si>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</si>
  <si>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</si>
  <si>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</si>
  <si>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</si>
  <si>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</si>
  <si>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</si>
  <si>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</si>
  <si>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</si>
  <si>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</si>
  <si>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</si>
  <si>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</si>
  <si>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</si>
  <si>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</si>
  <si>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</si>
  <si>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</si>
  <si>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</si>
  <si>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</si>
  <si>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</si>
  <si>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</si>
  <si>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</si>
  <si>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Vehicules actifs (INPUT bleu)</t>
  </si>
  <si>
    <t>Revenu / veh / mois</t>
  </si>
  <si>
    <t>RECETTES PLATEFORME</t>
  </si>
  <si>
    <t>Total An 1 (M1-M12)</t>
  </si>
  <si>
    <t>Total An 2 (M13-M24)</t>
  </si>
  <si>
    <t>Total 24 mois</t>
  </si>
  <si>
    <t>Charges - CAPEX + OPEX (v3 disciplinee)</t>
  </si>
  <si>
    <t>CAPEX de demarrage (M1)</t>
  </si>
  <si>
    <t>Formalisation societe (statuts+RCCM+IFU+annonce+valo App)</t>
  </si>
  <si>
    <t>ANATT - 1re autorisation + attestations + acomptes</t>
  </si>
  <si>
    <t>Honoraires juriste OHADA (contrats)</t>
  </si>
  <si>
    <t>Bureau - caution + amenagement</t>
  </si>
  <si>
    <t>Materiel informatique + mobilier</t>
  </si>
  <si>
    <t>Marketing lancement (evenement, photo, video) [DISCIPLINE 1,0M]</t>
  </si>
  <si>
    <t>Charte visuelle + print + domaine/email</t>
  </si>
  <si>
    <t>TOTAL CAPEX</t>
  </si>
  <si>
    <t>OPEX mensuel</t>
  </si>
  <si>
    <t>Loyer</t>
  </si>
  <si>
    <t>Electricite et eau</t>
  </si>
  <si>
    <t>Supabase Pro</t>
  </si>
  <si>
    <t>Vercel Pro</t>
  </si>
  <si>
    <t>Mapbox</t>
  </si>
  <si>
    <t>Twilio SMS</t>
  </si>
  <si>
    <t>IA Vision</t>
  </si>
  <si>
    <t>Claude Code</t>
  </si>
  <si>
    <t>Domaine pro + email pro</t>
  </si>
  <si>
    <t>Secretaire</t>
  </si>
  <si>
    <t>Community manager</t>
  </si>
  <si>
    <t>Comptable externe</t>
  </si>
  <si>
    <t>Juriste consultant</t>
  </si>
  <si>
    <t>Responsable operations [3% des courses terminees, plancher 150k]</t>
  </si>
  <si>
    <t>Ads Reseaux sociaux (Facebook + TikTok)</t>
  </si>
  <si>
    <t>Ads Google</t>
  </si>
  <si>
    <t>Radio locale (spots) [DISCIPLINE : lancement M1-M6]</t>
  </si>
  <si>
    <t>Street marketing + flyers [DISCIPLINE : 300k/mois a plat]</t>
  </si>
  <si>
    <t>Parrainage (bonus 500 F)</t>
  </si>
  <si>
    <t>TOTAL OPEX MENSUEL</t>
  </si>
  <si>
    <t>OPEX An 1 (12 mois)</t>
  </si>
  <si>
    <t>OPEX An 2 (12 mois)</t>
  </si>
  <si>
    <t>P&amp;L consolide - 24 mois (v3)</t>
  </si>
  <si>
    <t>Poste</t>
  </si>
  <si>
    <t>Recettes plateforme</t>
  </si>
  <si>
    <t>CAPEX (M1)</t>
  </si>
  <si>
    <t>OPEX recurrent</t>
  </si>
  <si>
    <t>Resultat avant impot</t>
  </si>
  <si>
    <t>Tresorerie debut de mois</t>
  </si>
  <si>
    <t>Tresorerie fin de mois</t>
  </si>
  <si>
    <t>SYNTHESE</t>
  </si>
  <si>
    <t>Recettes An 1</t>
  </si>
  <si>
    <t>Recettes An 2</t>
  </si>
  <si>
    <t>Charges An 1 (CAPEX+OPEX)</t>
  </si>
  <si>
    <t>Charges An 2</t>
  </si>
  <si>
    <t>Resultat An 1</t>
  </si>
  <si>
    <t>Resultat An 2 avant IS</t>
  </si>
  <si>
    <t>IS An 2 (30%)</t>
  </si>
  <si>
    <t>RESULTAT NET An 2</t>
  </si>
  <si>
    <t>Creux de tresorerie</t>
  </si>
  <si>
    <t xml:space="preserve">  (au mois)</t>
  </si>
  <si>
    <t>Tresorerie fin M24</t>
  </si>
  <si>
    <t>Rendement investisseur - ticket 1 M FCFA (v3)</t>
  </si>
  <si>
    <t>Part au capital</t>
  </si>
  <si>
    <t>Resultat net An 2</t>
  </si>
  <si>
    <t>Dividendes An 2 (40%)</t>
  </si>
  <si>
    <t>Part investisseur (brut)</t>
  </si>
  <si>
    <t>Dividende net IRCM</t>
  </si>
  <si>
    <t>Dividendes nets cumules ~5 ans</t>
  </si>
  <si>
    <t>Valeur societe a la sortie</t>
  </si>
  <si>
    <t>Valeur du ticket a la sortie</t>
  </si>
  <si>
    <t>Ticket de depart</t>
  </si>
  <si>
    <t>RETOUR TOTAL (div + plus-value)</t>
  </si>
  <si>
    <t>RETOUR NET (gain)</t>
  </si>
  <si>
    <t>RETOUR en % du ticket</t>
  </si>
  <si>
    <t>Assurance responsabilité multi risques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</si>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</sst>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3" borderId="0" xfId="0" applyFont="1" applyFill="1"/>
    <xf numFmtId="3" fontId="0" fillId="0" borderId="0" xfId="0" applyNumberFormat="1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3" fontId="0" fillId="3" borderId="0" xfId="0" applyNumberFormat="1" applyFill="1"/>
    <xf numFmtId="3" fontId="2" fillId="0" borderId="0" xfId="0" applyNumberFormat="1" applyFont="1"/>
    <xf numFmtId="3" fontId="2" fillId="4" borderId="0" xfId="0" applyNumberFormat="1" applyFont="1" applyFill="1"/>
    <xf numFmtId="3" fontId="2" fillId="5" borderId="0" xfId="0" applyNumberFormat="1" applyFont="1" applyFill="1"/>
    <xf numFmtId="0" fontId="0" fillId="3" borderId="0" xfId="0" applyFill="1"/>
    <xf numFmtId="0" fontId="0" fillId="5" borderId="0" xfId="0" applyFill="1"/>
    <xf numFmtId="0" fontId="3" fillId="0" borderId="0" xfId="0" applyFont="1"/>
    <xf numFmtId="165" fontId="0" fillId="0" borderId="0" xfId="0" applyNumberFormat="1"/>
    <xf numFmtId="165" fontId="2" fillId="4" borderId="0" xfId="0" applyNumberFormat="1" applyFont="1" applyFill="1"/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5"/>
  <sheetViews>
    <sheetView topLeftCell="A6" workbookViewId="0">
      <selection activeCell="B29" sqref="B29"/>
    </sheetView>
  </sheetViews>
  <sheetFormatPr baseColWidth="10" defaultColWidth="8.88671875" defaultRowHeight="14.4"/>
  <cols>
    <col min="2" max="2" width="52" customWidth="1"/>
    <col min="3" max="4" width="16" customWidth="1"/>
  </cols>
  <sheetData>
    <row r="1" spans="2:4">
      <c r="B1" s="1" t="s">
        <v>0</v>
      </c>
    </row>
    <row r="2" spans="2:4">
      <c r="B2" t="s">
        <v>1</v>
      </c>
    </row>
    <row r="3" spans="2:4">
      <c r="B3" s="2" t="s">
        <v>2</v>
      </c>
    </row>
    <row r="4" spans="2:4">
      <c r="B4" t="s">
        <v>3</v>
      </c>
      <c r="C4" s="3">
        <v>1500</v>
      </c>
      <c r="D4" t="s">
        <v>4</v>
      </c>
    </row>
    <row r="5" spans="2:4">
      <c r="B5" t="s">
        <v>5</v>
      </c>
      <c r="C5" s="4">
        <v>10</v>
      </c>
      <c r="D5" t="s">
        <v>6</v>
      </c>
    </row>
    <row r="6" spans="2:4">
      <c r="B6" t="s">
        <v>7</v>
      </c>
      <c r="C6" s="4">
        <v>26</v>
      </c>
      <c r="D6" t="s">
        <v>8</v>
      </c>
    </row>
    <row r="7" spans="2:4">
      <c r="B7" t="s">
        <v>9</v>
      </c>
      <c r="C7" s="3">
        <v>390000</v>
      </c>
      <c r="D7" t="e">
        <f>prix x courses x jours</f>
        <v>#NAME?</v>
      </c>
    </row>
    <row r="8" spans="2:4">
      <c r="B8" s="2" t="s">
        <v>10</v>
      </c>
    </row>
    <row r="9" spans="2:4">
      <c r="B9" t="s">
        <v>11</v>
      </c>
      <c r="C9" s="4">
        <v>0.2</v>
      </c>
    </row>
    <row r="10" spans="2:4">
      <c r="B10" t="s">
        <v>12</v>
      </c>
      <c r="C10" s="4">
        <v>0.1</v>
      </c>
    </row>
    <row r="11" spans="2:4">
      <c r="B11" t="s">
        <v>13</v>
      </c>
      <c r="C11" s="4">
        <v>0.3</v>
      </c>
      <c r="D11" t="s">
        <v>14</v>
      </c>
    </row>
    <row r="12" spans="2:4">
      <c r="B12" t="s">
        <v>15</v>
      </c>
      <c r="C12" s="4">
        <v>0.2</v>
      </c>
      <c r="D12" t="s">
        <v>14</v>
      </c>
    </row>
    <row r="13" spans="2:4">
      <c r="B13" t="s">
        <v>16</v>
      </c>
      <c r="C13" s="3">
        <v>500</v>
      </c>
      <c r="D13" t="s">
        <v>17</v>
      </c>
    </row>
    <row r="14" spans="2:4">
      <c r="B14" t="s">
        <v>18</v>
      </c>
      <c r="C14" s="3">
        <v>90200</v>
      </c>
      <c r="D14" t="s">
        <v>19</v>
      </c>
    </row>
    <row r="15" spans="2:4">
      <c r="B15" t="s">
        <v>20</v>
      </c>
      <c r="C15" s="3">
        <v>86300</v>
      </c>
      <c r="D15" t="s">
        <v>21</v>
      </c>
    </row>
    <row r="16" spans="2:4">
      <c r="B16" s="2" t="s">
        <v>22</v>
      </c>
    </row>
    <row r="17" spans="2:4">
      <c r="B17" t="s">
        <v>23</v>
      </c>
      <c r="C17" t="s">
        <v>24</v>
      </c>
      <c r="D17" t="s">
        <v>25</v>
      </c>
    </row>
    <row r="18" spans="2:4">
      <c r="B18" t="s">
        <v>26</v>
      </c>
      <c r="C18" s="3">
        <v>8441100</v>
      </c>
      <c r="D18" t="s">
        <v>27</v>
      </c>
    </row>
    <row r="19" spans="2:4">
      <c r="B19" s="2" t="s">
        <v>28</v>
      </c>
    </row>
    <row r="20" spans="2:4">
      <c r="B20" t="s">
        <v>29</v>
      </c>
      <c r="C20" s="4">
        <v>0.3</v>
      </c>
    </row>
    <row r="21" spans="2:4">
      <c r="B21" t="s">
        <v>30</v>
      </c>
      <c r="C21" s="4">
        <v>0.1</v>
      </c>
    </row>
    <row r="22" spans="2:4">
      <c r="B22" t="s">
        <v>31</v>
      </c>
      <c r="C22" s="4">
        <v>0.4</v>
      </c>
    </row>
    <row r="23" spans="2:4">
      <c r="B23" t="s">
        <v>32</v>
      </c>
      <c r="C23" s="3">
        <v>11000000</v>
      </c>
      <c r="D23" t="s">
        <v>33</v>
      </c>
    </row>
    <row r="24" spans="2:4">
      <c r="B24" t="s">
        <v>34</v>
      </c>
      <c r="C24" s="3">
        <v>30000000</v>
      </c>
      <c r="D24" t="s">
        <v>35</v>
      </c>
    </row>
    <row r="25" spans="2:4">
      <c r="B25" t="s">
        <v>36</v>
      </c>
      <c r="C25" s="4">
        <v>5</v>
      </c>
      <c r="D25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9"/>
  <sheetViews>
    <sheetView workbookViewId="0">
      <selection activeCell="B25" sqref="B25"/>
    </sheetView>
  </sheetViews>
  <sheetFormatPr baseColWidth="10" defaultColWidth="8.88671875" defaultRowHeight="14.4"/>
  <cols>
    <col min="2" max="2" width="27.88671875" customWidth="1"/>
    <col min="3" max="26" width="10" customWidth="1"/>
  </cols>
  <sheetData>
    <row r="1" spans="2:26">
      <c r="B1" s="1" t="s">
        <v>38</v>
      </c>
    </row>
    <row r="2" spans="2:26">
      <c r="B2" s="5" t="s">
        <v>39</v>
      </c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6" t="s">
        <v>48</v>
      </c>
      <c r="L2" s="6" t="s">
        <v>49</v>
      </c>
      <c r="M2" s="6" t="s">
        <v>50</v>
      </c>
      <c r="N2" s="6" t="s">
        <v>51</v>
      </c>
      <c r="O2" s="6" t="s">
        <v>52</v>
      </c>
      <c r="P2" s="6" t="s">
        <v>53</v>
      </c>
      <c r="Q2" s="6" t="s">
        <v>54</v>
      </c>
      <c r="R2" s="6" t="s">
        <v>55</v>
      </c>
      <c r="S2" s="6" t="s">
        <v>56</v>
      </c>
      <c r="T2" s="6" t="s">
        <v>57</v>
      </c>
      <c r="U2" s="6" t="s">
        <v>58</v>
      </c>
      <c r="V2" s="6" t="s">
        <v>59</v>
      </c>
      <c r="W2" s="6" t="s">
        <v>60</v>
      </c>
      <c r="X2" s="6" t="s">
        <v>61</v>
      </c>
      <c r="Y2" s="6" t="s">
        <v>62</v>
      </c>
      <c r="Z2" s="6" t="s">
        <v>63</v>
      </c>
    </row>
    <row r="3" spans="2:26">
      <c r="B3" s="2" t="s">
        <v>64</v>
      </c>
      <c r="C3" s="7">
        <v>0</v>
      </c>
      <c r="D3" s="7">
        <v>4</v>
      </c>
      <c r="E3" s="7">
        <v>8</v>
      </c>
      <c r="F3" s="7">
        <v>12</v>
      </c>
      <c r="G3" s="7">
        <v>16</v>
      </c>
      <c r="H3" s="7">
        <v>20</v>
      </c>
      <c r="I3" s="7">
        <v>23</v>
      </c>
      <c r="J3" s="7">
        <v>26</v>
      </c>
      <c r="K3" s="7">
        <v>28</v>
      </c>
      <c r="L3" s="7">
        <v>30</v>
      </c>
      <c r="M3" s="7">
        <v>32</v>
      </c>
      <c r="N3" s="7">
        <v>34</v>
      </c>
      <c r="O3" s="7">
        <v>36</v>
      </c>
      <c r="P3" s="7">
        <v>38</v>
      </c>
      <c r="Q3" s="7">
        <v>40</v>
      </c>
      <c r="R3" s="7">
        <v>40</v>
      </c>
      <c r="S3" s="7">
        <v>40</v>
      </c>
      <c r="T3" s="7">
        <v>40</v>
      </c>
      <c r="U3" s="7">
        <v>40</v>
      </c>
      <c r="V3" s="7">
        <v>40</v>
      </c>
      <c r="W3" s="7">
        <v>40</v>
      </c>
      <c r="X3" s="7">
        <v>40</v>
      </c>
      <c r="Y3" s="7">
        <v>40</v>
      </c>
      <c r="Z3" s="7">
        <v>40</v>
      </c>
    </row>
    <row r="4" spans="2:26">
      <c r="B4" t="s">
        <v>65</v>
      </c>
      <c r="C4" s="3">
        <v>0</v>
      </c>
      <c r="D4" s="3">
        <v>90200</v>
      </c>
      <c r="E4" s="3">
        <v>90200</v>
      </c>
      <c r="F4" s="3">
        <v>90200</v>
      </c>
      <c r="G4" s="3">
        <v>90200</v>
      </c>
      <c r="H4" s="3">
        <v>90200</v>
      </c>
      <c r="I4" s="3">
        <v>90200</v>
      </c>
      <c r="J4" s="3">
        <v>90200</v>
      </c>
      <c r="K4" s="3">
        <v>90200</v>
      </c>
      <c r="L4" s="3">
        <v>90200</v>
      </c>
      <c r="M4" s="3">
        <v>90200</v>
      </c>
      <c r="N4" s="3">
        <v>90200</v>
      </c>
      <c r="O4" s="3">
        <v>86300</v>
      </c>
      <c r="P4" s="3">
        <v>86300</v>
      </c>
      <c r="Q4" s="3">
        <v>86300</v>
      </c>
      <c r="R4" s="3">
        <v>86300</v>
      </c>
      <c r="S4" s="3">
        <v>86300</v>
      </c>
      <c r="T4" s="3">
        <v>86300</v>
      </c>
      <c r="U4" s="3">
        <v>86300</v>
      </c>
      <c r="V4" s="3">
        <v>86300</v>
      </c>
      <c r="W4" s="3">
        <v>86300</v>
      </c>
      <c r="X4" s="3">
        <v>86300</v>
      </c>
      <c r="Y4" s="3">
        <v>86300</v>
      </c>
      <c r="Z4" s="3">
        <v>86300</v>
      </c>
    </row>
    <row r="5" spans="2:26">
      <c r="B5" s="5" t="s">
        <v>66</v>
      </c>
      <c r="C5" s="8">
        <v>0</v>
      </c>
      <c r="D5" s="8">
        <f>D3*D4</f>
        <v>360800</v>
      </c>
      <c r="E5" s="8">
        <f t="shared" ref="E5:Z5" si="0">E3*E4</f>
        <v>721600</v>
      </c>
      <c r="F5" s="8">
        <f t="shared" si="0"/>
        <v>1082400</v>
      </c>
      <c r="G5" s="8">
        <f t="shared" si="0"/>
        <v>1443200</v>
      </c>
      <c r="H5" s="8">
        <f t="shared" si="0"/>
        <v>1804000</v>
      </c>
      <c r="I5" s="8">
        <f t="shared" si="0"/>
        <v>2074600</v>
      </c>
      <c r="J5" s="8">
        <f t="shared" si="0"/>
        <v>2345200</v>
      </c>
      <c r="K5" s="8">
        <f t="shared" si="0"/>
        <v>2525600</v>
      </c>
      <c r="L5" s="8">
        <f t="shared" si="0"/>
        <v>2706000</v>
      </c>
      <c r="M5" s="8">
        <f t="shared" si="0"/>
        <v>2886400</v>
      </c>
      <c r="N5" s="8">
        <f t="shared" si="0"/>
        <v>3066800</v>
      </c>
      <c r="O5" s="8">
        <f t="shared" si="0"/>
        <v>3106800</v>
      </c>
      <c r="P5" s="8">
        <f t="shared" si="0"/>
        <v>3279400</v>
      </c>
      <c r="Q5" s="8">
        <f t="shared" si="0"/>
        <v>3452000</v>
      </c>
      <c r="R5" s="8">
        <f t="shared" si="0"/>
        <v>3452000</v>
      </c>
      <c r="S5" s="8">
        <f t="shared" si="0"/>
        <v>3452000</v>
      </c>
      <c r="T5" s="8">
        <f t="shared" si="0"/>
        <v>3452000</v>
      </c>
      <c r="U5" s="8">
        <f t="shared" si="0"/>
        <v>3452000</v>
      </c>
      <c r="V5" s="8">
        <f t="shared" si="0"/>
        <v>3452000</v>
      </c>
      <c r="W5" s="8">
        <f t="shared" si="0"/>
        <v>3452000</v>
      </c>
      <c r="X5" s="8">
        <f t="shared" si="0"/>
        <v>3452000</v>
      </c>
      <c r="Y5" s="8">
        <f t="shared" si="0"/>
        <v>3452000</v>
      </c>
      <c r="Z5" s="8">
        <f t="shared" si="0"/>
        <v>3452000</v>
      </c>
    </row>
    <row r="7" spans="2:26">
      <c r="B7" t="s">
        <v>67</v>
      </c>
      <c r="C7" s="9">
        <f>SUM(C5:N5)</f>
        <v>21016600</v>
      </c>
    </row>
    <row r="8" spans="2:26">
      <c r="B8" t="s">
        <v>68</v>
      </c>
      <c r="C8" s="9">
        <f>SUM(O5:Z5)</f>
        <v>40906200</v>
      </c>
    </row>
    <row r="9" spans="2:26">
      <c r="B9" t="s">
        <v>69</v>
      </c>
      <c r="C9" s="9">
        <f>C7+C8</f>
        <v>61922800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36"/>
  <sheetViews>
    <sheetView topLeftCell="A10" workbookViewId="0">
      <selection activeCell="A10" sqref="A1:XFD1048576"/>
    </sheetView>
  </sheetViews>
  <sheetFormatPr baseColWidth="10" defaultColWidth="8.88671875" defaultRowHeight="14.4"/>
  <cols>
    <col min="2" max="2" width="57.21875" customWidth="1"/>
    <col min="3" max="3" width="14" customWidth="1"/>
    <col min="4" max="26" width="9" customWidth="1"/>
  </cols>
  <sheetData>
    <row r="1" spans="2:26">
      <c r="B1" s="1" t="s">
        <v>70</v>
      </c>
    </row>
    <row r="2" spans="2:26">
      <c r="B2" s="5" t="s">
        <v>71</v>
      </c>
    </row>
    <row r="3" spans="2:26">
      <c r="B3" t="s">
        <v>72</v>
      </c>
      <c r="C3" s="3">
        <v>1500000</v>
      </c>
    </row>
    <row r="4" spans="2:26">
      <c r="B4" t="s">
        <v>73</v>
      </c>
      <c r="C4" s="3">
        <v>666000</v>
      </c>
    </row>
    <row r="5" spans="2:26">
      <c r="B5" t="s">
        <v>74</v>
      </c>
      <c r="C5" s="3">
        <v>300000</v>
      </c>
    </row>
    <row r="6" spans="2:26">
      <c r="B6" t="s">
        <v>75</v>
      </c>
      <c r="C6" s="3">
        <v>700000</v>
      </c>
    </row>
    <row r="7" spans="2:26">
      <c r="B7" t="s">
        <v>76</v>
      </c>
      <c r="C7" s="3">
        <v>1500000</v>
      </c>
    </row>
    <row r="8" spans="2:26">
      <c r="B8" t="s">
        <v>77</v>
      </c>
      <c r="C8" s="3">
        <v>1000000</v>
      </c>
    </row>
    <row r="9" spans="2:26">
      <c r="B9" t="s">
        <v>78</v>
      </c>
      <c r="C9" s="3">
        <v>350000</v>
      </c>
    </row>
    <row r="10" spans="2:26">
      <c r="B10" s="5" t="s">
        <v>79</v>
      </c>
      <c r="C10" s="10">
        <f>SUM(C3:C9)</f>
        <v>6016000</v>
      </c>
    </row>
    <row r="12" spans="2:26">
      <c r="B12" s="5" t="s">
        <v>80</v>
      </c>
      <c r="C12" s="6" t="s">
        <v>40</v>
      </c>
      <c r="D12" s="6" t="s">
        <v>41</v>
      </c>
      <c r="E12" s="6" t="s">
        <v>42</v>
      </c>
      <c r="F12" s="6" t="s">
        <v>43</v>
      </c>
      <c r="G12" s="6" t="s">
        <v>44</v>
      </c>
      <c r="H12" s="6" t="s">
        <v>45</v>
      </c>
      <c r="I12" s="6" t="s">
        <v>46</v>
      </c>
      <c r="J12" s="6" t="s">
        <v>47</v>
      </c>
      <c r="K12" s="6" t="s">
        <v>48</v>
      </c>
      <c r="L12" s="6" t="s">
        <v>49</v>
      </c>
      <c r="M12" s="6" t="s">
        <v>50</v>
      </c>
      <c r="N12" s="6" t="s">
        <v>51</v>
      </c>
      <c r="O12" s="6" t="s">
        <v>52</v>
      </c>
      <c r="P12" s="6" t="s">
        <v>53</v>
      </c>
      <c r="Q12" s="6" t="s">
        <v>54</v>
      </c>
      <c r="R12" s="6" t="s">
        <v>55</v>
      </c>
      <c r="S12" s="6" t="s">
        <v>56</v>
      </c>
      <c r="T12" s="6" t="s">
        <v>57</v>
      </c>
      <c r="U12" s="6" t="s">
        <v>58</v>
      </c>
      <c r="V12" s="6" t="s">
        <v>59</v>
      </c>
      <c r="W12" s="6" t="s">
        <v>60</v>
      </c>
      <c r="X12" s="6" t="s">
        <v>61</v>
      </c>
      <c r="Y12" s="6" t="s">
        <v>62</v>
      </c>
      <c r="Z12" s="6" t="s">
        <v>63</v>
      </c>
    </row>
    <row r="13" spans="2:26">
      <c r="B13" t="s">
        <v>81</v>
      </c>
      <c r="C13" s="3">
        <v>70000</v>
      </c>
      <c r="D13" s="3">
        <v>70000</v>
      </c>
      <c r="E13" s="3">
        <v>70000</v>
      </c>
      <c r="F13" s="3">
        <v>70000</v>
      </c>
      <c r="G13" s="3">
        <v>70000</v>
      </c>
      <c r="H13" s="3">
        <v>70000</v>
      </c>
      <c r="I13" s="3">
        <v>70000</v>
      </c>
      <c r="J13" s="3">
        <v>70000</v>
      </c>
      <c r="K13" s="3">
        <v>70000</v>
      </c>
      <c r="L13" s="3">
        <v>70000</v>
      </c>
      <c r="M13" s="3">
        <v>70000</v>
      </c>
      <c r="N13" s="3">
        <v>70000</v>
      </c>
      <c r="O13" s="3">
        <v>100000</v>
      </c>
      <c r="P13" s="3">
        <v>100000</v>
      </c>
      <c r="Q13" s="3">
        <v>100000</v>
      </c>
      <c r="R13" s="3">
        <v>100000</v>
      </c>
      <c r="S13" s="3">
        <v>100000</v>
      </c>
      <c r="T13" s="3">
        <v>100000</v>
      </c>
      <c r="U13" s="3">
        <v>100000</v>
      </c>
      <c r="V13" s="3">
        <v>100000</v>
      </c>
      <c r="W13" s="3">
        <v>100000</v>
      </c>
      <c r="X13" s="3">
        <v>100000</v>
      </c>
      <c r="Y13" s="3">
        <v>100000</v>
      </c>
      <c r="Z13" s="3">
        <v>100000</v>
      </c>
    </row>
    <row r="14" spans="2:26">
      <c r="B14" t="s">
        <v>82</v>
      </c>
      <c r="C14" s="3">
        <v>70000</v>
      </c>
      <c r="D14" s="3">
        <v>70000</v>
      </c>
      <c r="E14" s="3">
        <v>70000</v>
      </c>
      <c r="F14" s="3">
        <v>70000</v>
      </c>
      <c r="G14" s="3">
        <v>70000</v>
      </c>
      <c r="H14" s="3">
        <v>70000</v>
      </c>
      <c r="I14" s="3">
        <v>70000</v>
      </c>
      <c r="J14" s="3">
        <v>70000</v>
      </c>
      <c r="K14" s="3">
        <v>70000</v>
      </c>
      <c r="L14" s="3">
        <v>70000</v>
      </c>
      <c r="M14" s="3">
        <v>70000</v>
      </c>
      <c r="N14" s="3">
        <v>70000</v>
      </c>
      <c r="O14" s="3">
        <v>100000</v>
      </c>
      <c r="P14" s="3">
        <v>100000</v>
      </c>
      <c r="Q14" s="3">
        <v>100000</v>
      </c>
      <c r="R14" s="3">
        <v>100000</v>
      </c>
      <c r="S14" s="3">
        <v>100000</v>
      </c>
      <c r="T14" s="3">
        <v>100000</v>
      </c>
      <c r="U14" s="3">
        <v>100000</v>
      </c>
      <c r="V14" s="3">
        <v>100000</v>
      </c>
      <c r="W14" s="3">
        <v>100000</v>
      </c>
      <c r="X14" s="3">
        <v>100000</v>
      </c>
      <c r="Y14" s="3">
        <v>100000</v>
      </c>
      <c r="Z14" s="3">
        <v>100000</v>
      </c>
    </row>
    <row r="15" spans="2:26">
      <c r="B15" t="s">
        <v>83</v>
      </c>
      <c r="C15" s="3">
        <v>15000</v>
      </c>
      <c r="D15" s="3">
        <v>15000</v>
      </c>
      <c r="E15" s="3">
        <v>15000</v>
      </c>
      <c r="F15" s="3">
        <v>15000</v>
      </c>
      <c r="G15" s="3">
        <v>15000</v>
      </c>
      <c r="H15" s="3">
        <v>15000</v>
      </c>
      <c r="I15" s="3">
        <v>15000</v>
      </c>
      <c r="J15" s="3">
        <v>15000</v>
      </c>
      <c r="K15" s="3">
        <v>15000</v>
      </c>
      <c r="L15" s="3">
        <v>15000</v>
      </c>
      <c r="M15" s="3">
        <v>15000</v>
      </c>
      <c r="N15" s="3">
        <v>15000</v>
      </c>
      <c r="O15" s="3">
        <v>15000</v>
      </c>
      <c r="P15" s="3">
        <v>15000</v>
      </c>
      <c r="Q15" s="3">
        <v>15000</v>
      </c>
      <c r="R15" s="3">
        <v>15000</v>
      </c>
      <c r="S15" s="3">
        <v>15000</v>
      </c>
      <c r="T15" s="3">
        <v>15000</v>
      </c>
      <c r="U15" s="3">
        <v>15000</v>
      </c>
      <c r="V15" s="3">
        <v>15000</v>
      </c>
      <c r="W15" s="3">
        <v>15000</v>
      </c>
      <c r="X15" s="3">
        <v>15000</v>
      </c>
      <c r="Y15" s="3">
        <v>15000</v>
      </c>
      <c r="Z15" s="3">
        <v>15000</v>
      </c>
    </row>
    <row r="16" spans="2:26">
      <c r="B16" t="s">
        <v>84</v>
      </c>
      <c r="C16" s="3">
        <v>15000</v>
      </c>
      <c r="D16" s="3">
        <v>15000</v>
      </c>
      <c r="E16" s="3">
        <v>15000</v>
      </c>
      <c r="F16" s="3">
        <v>15000</v>
      </c>
      <c r="G16" s="3">
        <v>15000</v>
      </c>
      <c r="H16" s="3">
        <v>15000</v>
      </c>
      <c r="I16" s="3">
        <v>15000</v>
      </c>
      <c r="J16" s="3">
        <v>15000</v>
      </c>
      <c r="K16" s="3">
        <v>15000</v>
      </c>
      <c r="L16" s="3">
        <v>15000</v>
      </c>
      <c r="M16" s="3">
        <v>15000</v>
      </c>
      <c r="N16" s="3">
        <v>15000</v>
      </c>
      <c r="O16" s="3">
        <v>15000</v>
      </c>
      <c r="P16" s="3">
        <v>15000</v>
      </c>
      <c r="Q16" s="3">
        <v>15000</v>
      </c>
      <c r="R16" s="3">
        <v>15000</v>
      </c>
      <c r="S16" s="3">
        <v>15000</v>
      </c>
      <c r="T16" s="3">
        <v>15000</v>
      </c>
      <c r="U16" s="3">
        <v>15000</v>
      </c>
      <c r="V16" s="3">
        <v>15000</v>
      </c>
      <c r="W16" s="3">
        <v>15000</v>
      </c>
      <c r="X16" s="3">
        <v>15000</v>
      </c>
      <c r="Y16" s="3">
        <v>15000</v>
      </c>
      <c r="Z16" s="3">
        <v>15000</v>
      </c>
    </row>
    <row r="17" spans="2:26">
      <c r="B17" t="s">
        <v>85</v>
      </c>
      <c r="C17" s="3">
        <v>25000</v>
      </c>
      <c r="D17" s="3">
        <v>25000</v>
      </c>
      <c r="E17" s="3">
        <v>25000</v>
      </c>
      <c r="F17" s="3">
        <v>25000</v>
      </c>
      <c r="G17" s="3">
        <v>25000</v>
      </c>
      <c r="H17" s="3">
        <v>25000</v>
      </c>
      <c r="I17" s="3">
        <v>25000</v>
      </c>
      <c r="J17" s="3">
        <v>25000</v>
      </c>
      <c r="K17" s="3">
        <v>25000</v>
      </c>
      <c r="L17" s="3">
        <v>25000</v>
      </c>
      <c r="M17" s="3">
        <v>25000</v>
      </c>
      <c r="N17" s="3">
        <v>25000</v>
      </c>
      <c r="O17" s="3">
        <v>25000</v>
      </c>
      <c r="P17" s="3">
        <v>25000</v>
      </c>
      <c r="Q17" s="3">
        <v>25000</v>
      </c>
      <c r="R17" s="3">
        <v>25000</v>
      </c>
      <c r="S17" s="3">
        <v>25000</v>
      </c>
      <c r="T17" s="3">
        <v>25000</v>
      </c>
      <c r="U17" s="3">
        <v>25000</v>
      </c>
      <c r="V17" s="3">
        <v>25000</v>
      </c>
      <c r="W17" s="3">
        <v>25000</v>
      </c>
      <c r="X17" s="3">
        <v>25000</v>
      </c>
      <c r="Y17" s="3">
        <v>25000</v>
      </c>
      <c r="Z17" s="3">
        <v>25000</v>
      </c>
    </row>
    <row r="18" spans="2:26">
      <c r="B18" t="s">
        <v>86</v>
      </c>
      <c r="C18" s="3">
        <v>25000</v>
      </c>
      <c r="D18" s="3">
        <v>25000</v>
      </c>
      <c r="E18" s="3">
        <v>25000</v>
      </c>
      <c r="F18" s="3">
        <v>25000</v>
      </c>
      <c r="G18" s="3">
        <v>25000</v>
      </c>
      <c r="H18" s="3">
        <v>25000</v>
      </c>
      <c r="I18" s="3">
        <v>25000</v>
      </c>
      <c r="J18" s="3">
        <v>25000</v>
      </c>
      <c r="K18" s="3">
        <v>25000</v>
      </c>
      <c r="L18" s="3">
        <v>25000</v>
      </c>
      <c r="M18" s="3">
        <v>25000</v>
      </c>
      <c r="N18" s="3">
        <v>25000</v>
      </c>
      <c r="O18" s="3">
        <v>25000</v>
      </c>
      <c r="P18" s="3">
        <v>25000</v>
      </c>
      <c r="Q18" s="3">
        <v>25000</v>
      </c>
      <c r="R18" s="3">
        <v>25000</v>
      </c>
      <c r="S18" s="3">
        <v>25000</v>
      </c>
      <c r="T18" s="3">
        <v>25000</v>
      </c>
      <c r="U18" s="3">
        <v>25000</v>
      </c>
      <c r="V18" s="3">
        <v>25000</v>
      </c>
      <c r="W18" s="3">
        <v>25000</v>
      </c>
      <c r="X18" s="3">
        <v>25000</v>
      </c>
      <c r="Y18" s="3">
        <v>25000</v>
      </c>
      <c r="Z18" s="3">
        <v>25000</v>
      </c>
    </row>
    <row r="19" spans="2:26">
      <c r="B19" t="s">
        <v>87</v>
      </c>
      <c r="C19" s="3">
        <v>10000</v>
      </c>
      <c r="D19" s="3">
        <v>10000</v>
      </c>
      <c r="E19" s="3">
        <v>10000</v>
      </c>
      <c r="F19" s="3">
        <v>10000</v>
      </c>
      <c r="G19" s="3">
        <v>10000</v>
      </c>
      <c r="H19" s="3">
        <v>10000</v>
      </c>
      <c r="I19" s="3">
        <v>10000</v>
      </c>
      <c r="J19" s="3">
        <v>10000</v>
      </c>
      <c r="K19" s="3">
        <v>10000</v>
      </c>
      <c r="L19" s="3">
        <v>10000</v>
      </c>
      <c r="M19" s="3">
        <v>10000</v>
      </c>
      <c r="N19" s="3">
        <v>10000</v>
      </c>
      <c r="O19" s="3">
        <v>10000</v>
      </c>
      <c r="P19" s="3">
        <v>10000</v>
      </c>
      <c r="Q19" s="3">
        <v>10000</v>
      </c>
      <c r="R19" s="3">
        <v>10000</v>
      </c>
      <c r="S19" s="3">
        <v>10000</v>
      </c>
      <c r="T19" s="3">
        <v>10000</v>
      </c>
      <c r="U19" s="3">
        <v>10000</v>
      </c>
      <c r="V19" s="3">
        <v>10000</v>
      </c>
      <c r="W19" s="3">
        <v>10000</v>
      </c>
      <c r="X19" s="3">
        <v>10000</v>
      </c>
      <c r="Y19" s="3">
        <v>10000</v>
      </c>
      <c r="Z19" s="3">
        <v>10000</v>
      </c>
    </row>
    <row r="20" spans="2:26">
      <c r="B20" t="s">
        <v>88</v>
      </c>
      <c r="C20" s="3">
        <v>65000</v>
      </c>
      <c r="D20" s="3">
        <v>65000</v>
      </c>
      <c r="E20" s="3">
        <v>65000</v>
      </c>
      <c r="F20" s="3">
        <v>65000</v>
      </c>
      <c r="G20" s="3">
        <v>65000</v>
      </c>
      <c r="H20" s="3">
        <v>65000</v>
      </c>
      <c r="I20" s="3">
        <v>65000</v>
      </c>
      <c r="J20" s="3">
        <v>65000</v>
      </c>
      <c r="K20" s="3">
        <v>65000</v>
      </c>
      <c r="L20" s="3">
        <v>65000</v>
      </c>
      <c r="M20" s="3">
        <v>65000</v>
      </c>
      <c r="N20" s="3">
        <v>65000</v>
      </c>
      <c r="O20" s="3">
        <v>65000</v>
      </c>
      <c r="P20" s="3">
        <v>65000</v>
      </c>
      <c r="Q20" s="3">
        <v>65000</v>
      </c>
      <c r="R20" s="3">
        <v>65000</v>
      </c>
      <c r="S20" s="3">
        <v>65000</v>
      </c>
      <c r="T20" s="3">
        <v>65000</v>
      </c>
      <c r="U20" s="3">
        <v>65000</v>
      </c>
      <c r="V20" s="3">
        <v>65000</v>
      </c>
      <c r="W20" s="3">
        <v>65000</v>
      </c>
      <c r="X20" s="3">
        <v>65000</v>
      </c>
      <c r="Y20" s="3">
        <v>65000</v>
      </c>
      <c r="Z20" s="3">
        <v>65000</v>
      </c>
    </row>
    <row r="21" spans="2:26">
      <c r="B21" t="s">
        <v>89</v>
      </c>
      <c r="C21" s="3">
        <v>2500</v>
      </c>
      <c r="D21" s="3">
        <v>2500</v>
      </c>
      <c r="E21" s="3">
        <v>2500</v>
      </c>
      <c r="F21" s="3">
        <v>2500</v>
      </c>
      <c r="G21" s="3">
        <v>2500</v>
      </c>
      <c r="H21" s="3">
        <v>2500</v>
      </c>
      <c r="I21" s="3">
        <v>2500</v>
      </c>
      <c r="J21" s="3">
        <v>2500</v>
      </c>
      <c r="K21" s="3">
        <v>2500</v>
      </c>
      <c r="L21" s="3">
        <v>2500</v>
      </c>
      <c r="M21" s="3">
        <v>2500</v>
      </c>
      <c r="N21" s="3">
        <v>2500</v>
      </c>
      <c r="O21" s="3">
        <v>2500</v>
      </c>
      <c r="P21" s="3">
        <v>2500</v>
      </c>
      <c r="Q21" s="3">
        <v>2500</v>
      </c>
      <c r="R21" s="3">
        <v>2500</v>
      </c>
      <c r="S21" s="3">
        <v>2500</v>
      </c>
      <c r="T21" s="3">
        <v>2500</v>
      </c>
      <c r="U21" s="3">
        <v>2500</v>
      </c>
      <c r="V21" s="3">
        <v>2500</v>
      </c>
      <c r="W21" s="3">
        <v>2500</v>
      </c>
      <c r="X21" s="3">
        <v>2500</v>
      </c>
      <c r="Y21" s="3">
        <v>2500</v>
      </c>
      <c r="Z21" s="3">
        <v>2500</v>
      </c>
    </row>
    <row r="22" spans="2:26">
      <c r="B22" t="s">
        <v>90</v>
      </c>
      <c r="C22" s="3">
        <v>100000</v>
      </c>
      <c r="D22" s="3">
        <v>100000</v>
      </c>
      <c r="E22" s="3">
        <v>100000</v>
      </c>
      <c r="F22" s="3">
        <v>100000</v>
      </c>
      <c r="G22" s="3">
        <v>100000</v>
      </c>
      <c r="H22" s="3">
        <v>100000</v>
      </c>
      <c r="I22" s="3">
        <v>100000</v>
      </c>
      <c r="J22" s="3">
        <v>100000</v>
      </c>
      <c r="K22" s="3">
        <v>100000</v>
      </c>
      <c r="L22" s="3">
        <v>100000</v>
      </c>
      <c r="M22" s="3">
        <v>100000</v>
      </c>
      <c r="N22" s="3">
        <v>100000</v>
      </c>
      <c r="O22" s="3">
        <v>100000</v>
      </c>
      <c r="P22" s="3">
        <v>100000</v>
      </c>
      <c r="Q22" s="3">
        <v>100000</v>
      </c>
      <c r="R22" s="3">
        <v>100000</v>
      </c>
      <c r="S22" s="3">
        <v>100000</v>
      </c>
      <c r="T22" s="3">
        <v>100000</v>
      </c>
      <c r="U22" s="3">
        <v>100000</v>
      </c>
      <c r="V22" s="3">
        <v>100000</v>
      </c>
      <c r="W22" s="3">
        <v>100000</v>
      </c>
      <c r="X22" s="3">
        <v>100000</v>
      </c>
      <c r="Y22" s="3">
        <v>100000</v>
      </c>
      <c r="Z22" s="3">
        <v>100000</v>
      </c>
    </row>
    <row r="23" spans="2:26">
      <c r="B23" t="s">
        <v>91</v>
      </c>
      <c r="C23" s="3">
        <v>75000</v>
      </c>
      <c r="D23" s="3">
        <v>75000</v>
      </c>
      <c r="E23" s="3">
        <v>75000</v>
      </c>
      <c r="F23" s="3">
        <v>75000</v>
      </c>
      <c r="G23" s="3">
        <v>75000</v>
      </c>
      <c r="H23" s="3">
        <v>75000</v>
      </c>
      <c r="I23" s="3">
        <v>75000</v>
      </c>
      <c r="J23" s="3">
        <v>75000</v>
      </c>
      <c r="K23" s="3">
        <v>75000</v>
      </c>
      <c r="L23" s="3">
        <v>75000</v>
      </c>
      <c r="M23" s="3">
        <v>75000</v>
      </c>
      <c r="N23" s="3">
        <v>75000</v>
      </c>
      <c r="O23" s="3">
        <v>75000</v>
      </c>
      <c r="P23" s="3">
        <v>75000</v>
      </c>
      <c r="Q23" s="3">
        <v>75000</v>
      </c>
      <c r="R23" s="3">
        <v>75000</v>
      </c>
      <c r="S23" s="3">
        <v>75000</v>
      </c>
      <c r="T23" s="3">
        <v>75000</v>
      </c>
      <c r="U23" s="3">
        <v>75000</v>
      </c>
      <c r="V23" s="3">
        <v>75000</v>
      </c>
      <c r="W23" s="3">
        <v>75000</v>
      </c>
      <c r="X23" s="3">
        <v>75000</v>
      </c>
      <c r="Y23" s="3">
        <v>75000</v>
      </c>
      <c r="Z23" s="3">
        <v>75000</v>
      </c>
    </row>
    <row r="24" spans="2:26">
      <c r="B24" t="s">
        <v>92</v>
      </c>
      <c r="C24" s="3">
        <v>75000</v>
      </c>
      <c r="D24" s="3">
        <v>75000</v>
      </c>
      <c r="E24" s="3">
        <v>75000</v>
      </c>
      <c r="F24" s="3">
        <v>75000</v>
      </c>
      <c r="G24" s="3">
        <v>75000</v>
      </c>
      <c r="H24" s="3">
        <v>75000</v>
      </c>
      <c r="I24" s="3">
        <v>75000</v>
      </c>
      <c r="J24" s="3">
        <v>75000</v>
      </c>
      <c r="K24" s="3">
        <v>75000</v>
      </c>
      <c r="L24" s="3">
        <v>75000</v>
      </c>
      <c r="M24" s="3">
        <v>75000</v>
      </c>
      <c r="N24" s="3">
        <v>75000</v>
      </c>
      <c r="O24" s="3">
        <v>75000</v>
      </c>
      <c r="P24" s="3">
        <v>75000</v>
      </c>
      <c r="Q24" s="3">
        <v>75000</v>
      </c>
      <c r="R24" s="3">
        <v>75000</v>
      </c>
      <c r="S24" s="3">
        <v>75000</v>
      </c>
      <c r="T24" s="3">
        <v>75000</v>
      </c>
      <c r="U24" s="3">
        <v>75000</v>
      </c>
      <c r="V24" s="3">
        <v>75000</v>
      </c>
      <c r="W24" s="3">
        <v>75000</v>
      </c>
      <c r="X24" s="3">
        <v>75000</v>
      </c>
      <c r="Y24" s="3">
        <v>75000</v>
      </c>
      <c r="Z24" s="3">
        <v>75000</v>
      </c>
    </row>
    <row r="25" spans="2:26">
      <c r="B25" t="s">
        <v>93</v>
      </c>
      <c r="C25" s="3">
        <v>50000</v>
      </c>
      <c r="D25" s="3">
        <v>50000</v>
      </c>
      <c r="E25" s="3">
        <v>50000</v>
      </c>
      <c r="F25" s="3">
        <v>50000</v>
      </c>
      <c r="G25" s="3">
        <v>50000</v>
      </c>
      <c r="H25" s="3">
        <v>50000</v>
      </c>
      <c r="I25" s="3">
        <v>50000</v>
      </c>
      <c r="J25" s="3">
        <v>50000</v>
      </c>
      <c r="K25" s="3">
        <v>50000</v>
      </c>
      <c r="L25" s="3">
        <v>50000</v>
      </c>
      <c r="M25" s="3">
        <v>50000</v>
      </c>
      <c r="N25" s="3">
        <v>50000</v>
      </c>
      <c r="O25" s="3">
        <v>50000</v>
      </c>
      <c r="P25" s="3">
        <v>50000</v>
      </c>
      <c r="Q25" s="3">
        <v>50000</v>
      </c>
      <c r="R25" s="3">
        <v>50000</v>
      </c>
      <c r="S25" s="3">
        <v>50000</v>
      </c>
      <c r="T25" s="3">
        <v>50000</v>
      </c>
      <c r="U25" s="3">
        <v>50000</v>
      </c>
      <c r="V25" s="3">
        <v>50000</v>
      </c>
      <c r="W25" s="3">
        <v>50000</v>
      </c>
      <c r="X25" s="3">
        <v>50000</v>
      </c>
      <c r="Y25" s="3">
        <v>50000</v>
      </c>
      <c r="Z25" s="3">
        <v>50000</v>
      </c>
    </row>
    <row r="26" spans="2:26">
      <c r="B26" t="s">
        <v>136</v>
      </c>
      <c r="C26" s="3">
        <v>77000</v>
      </c>
      <c r="D26" s="3">
        <v>77000</v>
      </c>
      <c r="E26" s="3">
        <v>77000</v>
      </c>
      <c r="F26" s="3">
        <v>77000</v>
      </c>
      <c r="G26" s="3">
        <v>77000</v>
      </c>
      <c r="H26" s="3">
        <v>77000</v>
      </c>
      <c r="I26" s="3">
        <v>77000</v>
      </c>
      <c r="J26" s="3">
        <v>77000</v>
      </c>
      <c r="K26" s="3">
        <v>77000</v>
      </c>
      <c r="L26" s="3">
        <v>77000</v>
      </c>
      <c r="M26" s="3">
        <v>77000</v>
      </c>
      <c r="N26" s="3">
        <v>77000</v>
      </c>
      <c r="O26" s="3">
        <v>82000</v>
      </c>
      <c r="P26" s="3">
        <v>82000</v>
      </c>
      <c r="Q26" s="3">
        <v>82000</v>
      </c>
      <c r="R26" s="3">
        <v>82000</v>
      </c>
      <c r="S26" s="3">
        <v>82000</v>
      </c>
      <c r="T26" s="3">
        <v>82000</v>
      </c>
      <c r="U26" s="3">
        <v>82000</v>
      </c>
      <c r="V26" s="3">
        <v>82000</v>
      </c>
      <c r="W26" s="3">
        <v>82000</v>
      </c>
      <c r="X26" s="3">
        <v>82000</v>
      </c>
      <c r="Y26" s="3">
        <v>82000</v>
      </c>
      <c r="Z26" s="3">
        <v>82000</v>
      </c>
    </row>
    <row r="27" spans="2:26">
      <c r="B27" s="11" t="s">
        <v>94</v>
      </c>
      <c r="C27" s="3">
        <v>0</v>
      </c>
      <c r="D27" s="3">
        <v>150000</v>
      </c>
      <c r="E27" s="3">
        <v>150000</v>
      </c>
      <c r="F27" s="3">
        <v>150000</v>
      </c>
      <c r="G27" s="3">
        <v>150000</v>
      </c>
      <c r="H27" s="3">
        <v>150000</v>
      </c>
      <c r="I27" s="3">
        <v>150000</v>
      </c>
      <c r="J27" s="3">
        <v>150000</v>
      </c>
      <c r="K27" s="3">
        <v>150000</v>
      </c>
      <c r="L27" s="3">
        <v>150000</v>
      </c>
      <c r="M27" s="3">
        <v>150000</v>
      </c>
      <c r="N27" s="3">
        <v>150000</v>
      </c>
      <c r="O27" s="3">
        <v>150000</v>
      </c>
      <c r="P27" s="3">
        <v>150000</v>
      </c>
      <c r="Q27" s="3">
        <v>150000</v>
      </c>
      <c r="R27" s="3">
        <v>150000</v>
      </c>
      <c r="S27" s="3">
        <v>150000</v>
      </c>
      <c r="T27" s="3">
        <v>150000</v>
      </c>
      <c r="U27" s="3">
        <v>150000</v>
      </c>
      <c r="V27" s="3">
        <v>150000</v>
      </c>
      <c r="W27" s="3">
        <v>150000</v>
      </c>
      <c r="X27" s="3">
        <v>150000</v>
      </c>
      <c r="Y27" s="3">
        <v>150000</v>
      </c>
      <c r="Z27" s="3">
        <v>150000</v>
      </c>
    </row>
    <row r="28" spans="2:26">
      <c r="B28" t="s">
        <v>95</v>
      </c>
      <c r="C28" s="3">
        <v>100000</v>
      </c>
      <c r="D28" s="3">
        <v>100000</v>
      </c>
      <c r="E28" s="3">
        <v>100000</v>
      </c>
      <c r="F28" s="3">
        <v>100000</v>
      </c>
      <c r="G28" s="3">
        <v>100000</v>
      </c>
      <c r="H28" s="3">
        <v>100000</v>
      </c>
      <c r="I28" s="3">
        <v>100000</v>
      </c>
      <c r="J28" s="3">
        <v>100000</v>
      </c>
      <c r="K28" s="3">
        <v>100000</v>
      </c>
      <c r="L28" s="3">
        <v>100000</v>
      </c>
      <c r="M28" s="3">
        <v>100000</v>
      </c>
      <c r="N28" s="3">
        <v>100000</v>
      </c>
      <c r="O28" s="3">
        <v>50000</v>
      </c>
      <c r="P28" s="3">
        <v>50000</v>
      </c>
      <c r="Q28" s="3">
        <v>50000</v>
      </c>
      <c r="R28" s="3">
        <v>50000</v>
      </c>
      <c r="S28" s="3">
        <v>50000</v>
      </c>
      <c r="T28" s="3">
        <v>50000</v>
      </c>
      <c r="U28" s="3">
        <v>50000</v>
      </c>
      <c r="V28" s="3">
        <v>50000</v>
      </c>
      <c r="W28" s="3">
        <v>50000</v>
      </c>
      <c r="X28" s="3">
        <v>50000</v>
      </c>
      <c r="Y28" s="3">
        <v>50000</v>
      </c>
      <c r="Z28" s="3">
        <v>50000</v>
      </c>
    </row>
    <row r="29" spans="2:26">
      <c r="B29" t="s">
        <v>96</v>
      </c>
      <c r="C29" s="3">
        <v>30000</v>
      </c>
      <c r="D29" s="3">
        <v>30000</v>
      </c>
      <c r="E29" s="3">
        <v>30000</v>
      </c>
      <c r="F29" s="3">
        <v>30000</v>
      </c>
      <c r="G29" s="3">
        <v>30000</v>
      </c>
      <c r="H29" s="3">
        <v>30000</v>
      </c>
      <c r="I29" s="3">
        <v>30000</v>
      </c>
      <c r="J29" s="3">
        <v>30000</v>
      </c>
      <c r="K29" s="3">
        <v>30000</v>
      </c>
      <c r="L29" s="3">
        <v>30000</v>
      </c>
      <c r="M29" s="3">
        <v>30000</v>
      </c>
      <c r="N29" s="3">
        <v>30000</v>
      </c>
      <c r="O29" s="3">
        <v>30000</v>
      </c>
      <c r="P29" s="3">
        <v>30000</v>
      </c>
      <c r="Q29" s="3">
        <v>30000</v>
      </c>
      <c r="R29" s="3">
        <v>30000</v>
      </c>
      <c r="S29" s="3">
        <v>30000</v>
      </c>
      <c r="T29" s="3">
        <v>30000</v>
      </c>
      <c r="U29" s="3">
        <v>30000</v>
      </c>
      <c r="V29" s="3">
        <v>30000</v>
      </c>
      <c r="W29" s="3">
        <v>30000</v>
      </c>
      <c r="X29" s="3">
        <v>30000</v>
      </c>
      <c r="Y29" s="3">
        <v>30000</v>
      </c>
      <c r="Z29" s="3">
        <v>30000</v>
      </c>
    </row>
    <row r="30" spans="2:26">
      <c r="B30" s="12" t="s">
        <v>97</v>
      </c>
      <c r="C30" s="3">
        <v>200000</v>
      </c>
      <c r="D30" s="3">
        <v>200000</v>
      </c>
      <c r="E30" s="3">
        <v>200000</v>
      </c>
      <c r="F30" s="3">
        <v>200000</v>
      </c>
      <c r="G30" s="3">
        <v>200000</v>
      </c>
      <c r="H30" s="3">
        <v>200000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2:26">
      <c r="B31" s="12" t="s">
        <v>98</v>
      </c>
      <c r="C31" s="3">
        <v>100000</v>
      </c>
      <c r="D31" s="3">
        <v>100000</v>
      </c>
      <c r="E31" s="3">
        <v>100000</v>
      </c>
      <c r="F31" s="3">
        <v>100000</v>
      </c>
      <c r="G31" s="3">
        <v>100000</v>
      </c>
      <c r="H31" s="3">
        <v>100000</v>
      </c>
      <c r="I31" s="3">
        <v>100000</v>
      </c>
      <c r="J31" s="3">
        <v>100000</v>
      </c>
      <c r="K31" s="3">
        <v>100000</v>
      </c>
      <c r="L31" s="3">
        <v>100000</v>
      </c>
      <c r="M31" s="3">
        <v>100000</v>
      </c>
      <c r="N31" s="3">
        <v>100000</v>
      </c>
      <c r="O31" s="3">
        <v>300000</v>
      </c>
      <c r="P31" s="3">
        <v>300000</v>
      </c>
      <c r="Q31" s="3">
        <v>300000</v>
      </c>
      <c r="R31" s="3">
        <v>300000</v>
      </c>
      <c r="S31" s="3">
        <v>100000</v>
      </c>
      <c r="T31" s="3">
        <v>100000</v>
      </c>
      <c r="U31" s="3">
        <v>100000</v>
      </c>
      <c r="V31" s="3">
        <v>300000</v>
      </c>
      <c r="W31" s="3">
        <v>100000</v>
      </c>
      <c r="X31" s="3">
        <v>100000</v>
      </c>
      <c r="Y31" s="3">
        <v>300000</v>
      </c>
      <c r="Z31" s="3">
        <v>300000</v>
      </c>
    </row>
    <row r="32" spans="2:26">
      <c r="B32" t="s">
        <v>99</v>
      </c>
      <c r="C32" s="3">
        <v>100000</v>
      </c>
      <c r="D32" s="3">
        <v>100000</v>
      </c>
      <c r="E32" s="3">
        <v>100000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100000</v>
      </c>
      <c r="M32" s="3">
        <v>100000</v>
      </c>
      <c r="N32" s="3">
        <v>100000</v>
      </c>
      <c r="O32" s="3">
        <v>100000</v>
      </c>
      <c r="P32" s="3">
        <v>100000</v>
      </c>
      <c r="Q32" s="3">
        <v>100000</v>
      </c>
      <c r="R32" s="3">
        <v>100000</v>
      </c>
      <c r="S32" s="3">
        <v>100000</v>
      </c>
      <c r="T32" s="3">
        <v>100000</v>
      </c>
      <c r="U32" s="3">
        <v>100000</v>
      </c>
      <c r="V32" s="3">
        <v>100000</v>
      </c>
      <c r="W32" s="3">
        <v>100000</v>
      </c>
      <c r="X32" s="3">
        <v>100000</v>
      </c>
      <c r="Y32" s="3">
        <v>100000</v>
      </c>
      <c r="Z32" s="3">
        <v>100000</v>
      </c>
    </row>
    <row r="33" spans="2:26">
      <c r="B33" s="5" t="s">
        <v>100</v>
      </c>
      <c r="C33" s="8">
        <f>SUM(C13:C32)</f>
        <v>1204500</v>
      </c>
      <c r="D33" s="8">
        <f t="shared" ref="D33:Z33" si="0">SUM(D13:D32)</f>
        <v>1354500</v>
      </c>
      <c r="E33" s="8">
        <f t="shared" si="0"/>
        <v>1354500</v>
      </c>
      <c r="F33" s="8">
        <f t="shared" si="0"/>
        <v>1254500</v>
      </c>
      <c r="G33" s="8">
        <f t="shared" si="0"/>
        <v>1254500</v>
      </c>
      <c r="H33" s="8">
        <f t="shared" si="0"/>
        <v>1254500</v>
      </c>
      <c r="I33" s="8">
        <f t="shared" si="0"/>
        <v>1054500</v>
      </c>
      <c r="J33" s="8">
        <f t="shared" si="0"/>
        <v>1054500</v>
      </c>
      <c r="K33" s="8">
        <f t="shared" si="0"/>
        <v>1054500</v>
      </c>
      <c r="L33" s="8">
        <f t="shared" si="0"/>
        <v>1154500</v>
      </c>
      <c r="M33" s="8">
        <f t="shared" si="0"/>
        <v>1154500</v>
      </c>
      <c r="N33" s="8">
        <f t="shared" si="0"/>
        <v>1154500</v>
      </c>
      <c r="O33" s="8">
        <f t="shared" si="0"/>
        <v>1369500</v>
      </c>
      <c r="P33" s="8">
        <f t="shared" si="0"/>
        <v>1369500</v>
      </c>
      <c r="Q33" s="8">
        <f t="shared" si="0"/>
        <v>1369500</v>
      </c>
      <c r="R33" s="8">
        <f t="shared" si="0"/>
        <v>1369500</v>
      </c>
      <c r="S33" s="8">
        <f t="shared" si="0"/>
        <v>1169500</v>
      </c>
      <c r="T33" s="8">
        <f t="shared" si="0"/>
        <v>1169500</v>
      </c>
      <c r="U33" s="8">
        <f t="shared" si="0"/>
        <v>1169500</v>
      </c>
      <c r="V33" s="8">
        <f t="shared" si="0"/>
        <v>1369500</v>
      </c>
      <c r="W33" s="8">
        <f t="shared" si="0"/>
        <v>1169500</v>
      </c>
      <c r="X33" s="8">
        <f t="shared" si="0"/>
        <v>1169500</v>
      </c>
      <c r="Y33" s="8">
        <f t="shared" si="0"/>
        <v>1369500</v>
      </c>
      <c r="Z33" s="8">
        <f t="shared" si="0"/>
        <v>1369500</v>
      </c>
    </row>
    <row r="35" spans="2:26">
      <c r="B35" t="s">
        <v>101</v>
      </c>
      <c r="C35" s="9">
        <f>SUM(C33:N33)</f>
        <v>14304000</v>
      </c>
    </row>
    <row r="36" spans="2:26">
      <c r="B36" t="s">
        <v>102</v>
      </c>
      <c r="C36" s="9">
        <f>SUM(O33:Z33)</f>
        <v>15434000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22"/>
  <sheetViews>
    <sheetView tabSelected="1" workbookViewId="0">
      <selection sqref="A1:XFD1048576"/>
    </sheetView>
  </sheetViews>
  <sheetFormatPr baseColWidth="10" defaultColWidth="8.88671875" defaultRowHeight="14.4"/>
  <cols>
    <col min="2" max="2" width="28" customWidth="1"/>
    <col min="3" max="3" width="13.6640625" customWidth="1"/>
    <col min="4" max="4" width="14" customWidth="1"/>
    <col min="5" max="5" width="10.6640625" customWidth="1"/>
    <col min="6" max="6" width="10.88671875" customWidth="1"/>
    <col min="7" max="7" width="11.33203125" customWidth="1"/>
    <col min="8" max="8" width="10.6640625" customWidth="1"/>
    <col min="9" max="10" width="11.77734375" customWidth="1"/>
    <col min="11" max="11" width="12.109375" customWidth="1"/>
    <col min="12" max="13" width="11.109375" customWidth="1"/>
    <col min="14" max="15" width="11" customWidth="1"/>
    <col min="16" max="16" width="11.109375" customWidth="1"/>
    <col min="17" max="17" width="11.44140625" customWidth="1"/>
    <col min="18" max="18" width="12.109375" customWidth="1"/>
    <col min="19" max="19" width="10.88671875" customWidth="1"/>
    <col min="20" max="20" width="10.77734375" customWidth="1"/>
    <col min="21" max="21" width="11.5546875" customWidth="1"/>
    <col min="22" max="22" width="11" customWidth="1"/>
    <col min="23" max="23" width="11.5546875" customWidth="1"/>
    <col min="24" max="24" width="11.21875" customWidth="1"/>
    <col min="25" max="25" width="10.77734375" customWidth="1"/>
    <col min="26" max="26" width="12.21875" customWidth="1"/>
  </cols>
  <sheetData>
    <row r="1" spans="2:26">
      <c r="B1" s="1" t="s">
        <v>103</v>
      </c>
    </row>
    <row r="2" spans="2:26">
      <c r="B2" s="5" t="s">
        <v>104</v>
      </c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6" t="s">
        <v>48</v>
      </c>
      <c r="L2" s="6" t="s">
        <v>49</v>
      </c>
      <c r="M2" s="6" t="s">
        <v>50</v>
      </c>
      <c r="N2" s="6" t="s">
        <v>51</v>
      </c>
      <c r="O2" s="6" t="s">
        <v>52</v>
      </c>
      <c r="P2" s="6" t="s">
        <v>53</v>
      </c>
      <c r="Q2" s="6" t="s">
        <v>54</v>
      </c>
      <c r="R2" s="6" t="s">
        <v>55</v>
      </c>
      <c r="S2" s="6" t="s">
        <v>56</v>
      </c>
      <c r="T2" s="6" t="s">
        <v>57</v>
      </c>
      <c r="U2" s="6" t="s">
        <v>58</v>
      </c>
      <c r="V2" s="6" t="s">
        <v>59</v>
      </c>
      <c r="W2" s="6" t="s">
        <v>60</v>
      </c>
      <c r="X2" s="6" t="s">
        <v>61</v>
      </c>
      <c r="Y2" s="6" t="s">
        <v>62</v>
      </c>
      <c r="Z2" s="6" t="s">
        <v>63</v>
      </c>
    </row>
    <row r="3" spans="2:26">
      <c r="B3" s="13" t="s">
        <v>105</v>
      </c>
      <c r="C3" s="3">
        <v>0</v>
      </c>
      <c r="D3" s="3">
        <f>Recettes!D5</f>
        <v>360800</v>
      </c>
      <c r="E3" s="3">
        <f>Recettes!E5</f>
        <v>721600</v>
      </c>
      <c r="F3" s="3">
        <f>Recettes!F5</f>
        <v>1082400</v>
      </c>
      <c r="G3" s="3">
        <f>Recettes!G5</f>
        <v>1443200</v>
      </c>
      <c r="H3" s="3">
        <f>Recettes!H5</f>
        <v>1804000</v>
      </c>
      <c r="I3" s="3">
        <f>Recettes!I5</f>
        <v>2074600</v>
      </c>
      <c r="J3" s="3">
        <f>Recettes!J5</f>
        <v>2345200</v>
      </c>
      <c r="K3" s="3">
        <f>Recettes!K5</f>
        <v>2525600</v>
      </c>
      <c r="L3" s="3">
        <f>Recettes!L5</f>
        <v>2706000</v>
      </c>
      <c r="M3" s="3">
        <f>Recettes!M5</f>
        <v>2886400</v>
      </c>
      <c r="N3" s="3">
        <f>Recettes!N5</f>
        <v>3066800</v>
      </c>
      <c r="O3" s="3">
        <f>Recettes!O5</f>
        <v>3106800</v>
      </c>
      <c r="P3" s="3">
        <f>Recettes!P5</f>
        <v>3279400</v>
      </c>
      <c r="Q3" s="3">
        <f>Recettes!Q5</f>
        <v>3452000</v>
      </c>
      <c r="R3" s="3">
        <f>Recettes!R5</f>
        <v>3452000</v>
      </c>
      <c r="S3" s="3">
        <f>Recettes!S5</f>
        <v>3452000</v>
      </c>
      <c r="T3" s="3">
        <f>Recettes!T5</f>
        <v>3452000</v>
      </c>
      <c r="U3" s="3">
        <f>Recettes!U5</f>
        <v>3452000</v>
      </c>
      <c r="V3" s="3">
        <f>Recettes!V5</f>
        <v>3452000</v>
      </c>
      <c r="W3" s="3">
        <f>Recettes!W5</f>
        <v>3452000</v>
      </c>
      <c r="X3" s="3">
        <f>Recettes!X5</f>
        <v>3452000</v>
      </c>
      <c r="Y3" s="3">
        <f>Recettes!Y5</f>
        <v>3452000</v>
      </c>
      <c r="Z3" s="3">
        <f>Recettes!Z5</f>
        <v>3452000</v>
      </c>
    </row>
    <row r="4" spans="2:26">
      <c r="B4" s="13" t="s">
        <v>106</v>
      </c>
      <c r="C4" s="3">
        <f>Charges!C10</f>
        <v>6016000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</row>
    <row r="5" spans="2:26">
      <c r="B5" s="13" t="s">
        <v>107</v>
      </c>
      <c r="C5" s="3">
        <f>Charges!C33</f>
        <v>1204500</v>
      </c>
      <c r="D5" s="3">
        <f>Charges!D33</f>
        <v>1354500</v>
      </c>
      <c r="E5" s="3">
        <f>Charges!E33</f>
        <v>1354500</v>
      </c>
      <c r="F5" s="3">
        <f>Charges!F33</f>
        <v>1254500</v>
      </c>
      <c r="G5" s="3">
        <f>Charges!G33</f>
        <v>1254500</v>
      </c>
      <c r="H5" s="3">
        <f>Charges!H33</f>
        <v>1254500</v>
      </c>
      <c r="I5" s="3">
        <f>Charges!I33</f>
        <v>1054500</v>
      </c>
      <c r="J5" s="3">
        <f>Charges!J33</f>
        <v>1054500</v>
      </c>
      <c r="K5" s="3">
        <f>Charges!K33</f>
        <v>1054500</v>
      </c>
      <c r="L5" s="3">
        <f>Charges!L33</f>
        <v>1154500</v>
      </c>
      <c r="M5" s="3">
        <f>Charges!M33</f>
        <v>1154500</v>
      </c>
      <c r="N5" s="3">
        <f>Charges!N33</f>
        <v>1154500</v>
      </c>
      <c r="O5" s="3">
        <f>Charges!O33</f>
        <v>1369500</v>
      </c>
      <c r="P5" s="3">
        <f>Charges!P33</f>
        <v>1369500</v>
      </c>
      <c r="Q5" s="3">
        <f>Charges!Q33</f>
        <v>1369500</v>
      </c>
      <c r="R5" s="3">
        <f>Charges!R33</f>
        <v>1369500</v>
      </c>
      <c r="S5" s="3">
        <f>Charges!S33</f>
        <v>1169500</v>
      </c>
      <c r="T5" s="3">
        <f>Charges!T33</f>
        <v>1169500</v>
      </c>
      <c r="U5" s="3">
        <f>Charges!U33</f>
        <v>1169500</v>
      </c>
      <c r="V5" s="3">
        <f>Charges!V33</f>
        <v>1369500</v>
      </c>
      <c r="W5" s="3">
        <f>Charges!W33</f>
        <v>1169500</v>
      </c>
      <c r="X5" s="3">
        <f>Charges!X33</f>
        <v>1169500</v>
      </c>
      <c r="Y5" s="3">
        <f>Charges!Y33</f>
        <v>1369500</v>
      </c>
      <c r="Z5" s="3">
        <f>Charges!Z33</f>
        <v>1369500</v>
      </c>
    </row>
    <row r="6" spans="2:26">
      <c r="B6" s="13" t="s">
        <v>108</v>
      </c>
      <c r="C6" s="8">
        <f>C4+C5</f>
        <v>7220500</v>
      </c>
      <c r="D6" s="8">
        <f>D4+D5</f>
        <v>1354500</v>
      </c>
      <c r="E6" s="8">
        <f t="shared" ref="E6:Z6" si="0">E4+E5</f>
        <v>1354500</v>
      </c>
      <c r="F6" s="8">
        <f t="shared" si="0"/>
        <v>1254500</v>
      </c>
      <c r="G6" s="8">
        <f t="shared" si="0"/>
        <v>1254500</v>
      </c>
      <c r="H6" s="8">
        <f t="shared" si="0"/>
        <v>1254500</v>
      </c>
      <c r="I6" s="8">
        <f t="shared" si="0"/>
        <v>1054500</v>
      </c>
      <c r="J6" s="8">
        <f t="shared" si="0"/>
        <v>1054500</v>
      </c>
      <c r="K6" s="8">
        <f t="shared" si="0"/>
        <v>1054500</v>
      </c>
      <c r="L6" s="8">
        <f t="shared" si="0"/>
        <v>1154500</v>
      </c>
      <c r="M6" s="8">
        <f t="shared" si="0"/>
        <v>1154500</v>
      </c>
      <c r="N6" s="8">
        <f t="shared" si="0"/>
        <v>1154500</v>
      </c>
      <c r="O6" s="8">
        <f t="shared" si="0"/>
        <v>1369500</v>
      </c>
      <c r="P6" s="8">
        <f t="shared" si="0"/>
        <v>1369500</v>
      </c>
      <c r="Q6" s="8">
        <f t="shared" si="0"/>
        <v>1369500</v>
      </c>
      <c r="R6" s="8">
        <f t="shared" si="0"/>
        <v>1369500</v>
      </c>
      <c r="S6" s="8">
        <f t="shared" si="0"/>
        <v>1169500</v>
      </c>
      <c r="T6" s="8">
        <f t="shared" si="0"/>
        <v>1169500</v>
      </c>
      <c r="U6" s="8">
        <f t="shared" si="0"/>
        <v>1169500</v>
      </c>
      <c r="V6" s="8">
        <f t="shared" si="0"/>
        <v>1369500</v>
      </c>
      <c r="W6" s="8">
        <f t="shared" si="0"/>
        <v>1169500</v>
      </c>
      <c r="X6" s="8">
        <f t="shared" si="0"/>
        <v>1169500</v>
      </c>
      <c r="Y6" s="8">
        <f t="shared" si="0"/>
        <v>1369500</v>
      </c>
      <c r="Z6" s="8">
        <f t="shared" si="0"/>
        <v>1369500</v>
      </c>
    </row>
    <row r="7" spans="2:26">
      <c r="B7" s="13" t="s">
        <v>109</v>
      </c>
      <c r="C7" s="3">
        <v>10000000</v>
      </c>
      <c r="D7" s="3">
        <f>C8+D3</f>
        <v>3140300</v>
      </c>
      <c r="E7" s="3">
        <f>D8+E3</f>
        <v>2507400</v>
      </c>
      <c r="F7" s="3">
        <f t="shared" ref="F7:Z7" si="1">E8+F3</f>
        <v>2235300</v>
      </c>
      <c r="G7" s="3">
        <f t="shared" si="1"/>
        <v>2424000</v>
      </c>
      <c r="H7" s="3">
        <f t="shared" si="1"/>
        <v>2973500</v>
      </c>
      <c r="I7" s="3">
        <f t="shared" si="1"/>
        <v>3793600</v>
      </c>
      <c r="J7" s="3">
        <f t="shared" si="1"/>
        <v>5084300</v>
      </c>
      <c r="K7" s="3">
        <f t="shared" si="1"/>
        <v>6555400</v>
      </c>
      <c r="L7" s="3">
        <f t="shared" si="1"/>
        <v>8206900</v>
      </c>
      <c r="M7" s="3">
        <f t="shared" si="1"/>
        <v>9938800</v>
      </c>
      <c r="N7" s="3">
        <f t="shared" si="1"/>
        <v>11851100</v>
      </c>
      <c r="O7" s="3">
        <f t="shared" si="1"/>
        <v>13803400</v>
      </c>
      <c r="P7" s="3">
        <f t="shared" si="1"/>
        <v>15713300</v>
      </c>
      <c r="Q7" s="3">
        <f t="shared" si="1"/>
        <v>17795800</v>
      </c>
      <c r="R7" s="3">
        <f t="shared" si="1"/>
        <v>19878300</v>
      </c>
      <c r="S7" s="3">
        <f t="shared" si="1"/>
        <v>21960800</v>
      </c>
      <c r="T7" s="3">
        <f t="shared" si="1"/>
        <v>24243300</v>
      </c>
      <c r="U7" s="3">
        <f t="shared" si="1"/>
        <v>26525800</v>
      </c>
      <c r="V7" s="3">
        <f t="shared" si="1"/>
        <v>28808300</v>
      </c>
      <c r="W7" s="3">
        <f t="shared" si="1"/>
        <v>30890800</v>
      </c>
      <c r="X7" s="3">
        <f t="shared" si="1"/>
        <v>33173300</v>
      </c>
      <c r="Y7" s="3">
        <f t="shared" si="1"/>
        <v>35455800</v>
      </c>
      <c r="Z7" s="3">
        <f t="shared" si="1"/>
        <v>37538300</v>
      </c>
    </row>
    <row r="8" spans="2:26">
      <c r="B8" s="13" t="s">
        <v>110</v>
      </c>
      <c r="C8" s="9">
        <f>C7-C6</f>
        <v>2779500</v>
      </c>
      <c r="D8" s="9">
        <f>D7-D6</f>
        <v>1785800</v>
      </c>
      <c r="E8" s="9">
        <f t="shared" ref="E8:Z8" si="2">E7-E6</f>
        <v>1152900</v>
      </c>
      <c r="F8" s="9">
        <f t="shared" si="2"/>
        <v>980800</v>
      </c>
      <c r="G8" s="9">
        <f t="shared" si="2"/>
        <v>1169500</v>
      </c>
      <c r="H8" s="9">
        <f t="shared" si="2"/>
        <v>1719000</v>
      </c>
      <c r="I8" s="9">
        <f t="shared" si="2"/>
        <v>2739100</v>
      </c>
      <c r="J8" s="9">
        <f t="shared" si="2"/>
        <v>4029800</v>
      </c>
      <c r="K8" s="9">
        <f t="shared" si="2"/>
        <v>5500900</v>
      </c>
      <c r="L8" s="9">
        <f t="shared" si="2"/>
        <v>7052400</v>
      </c>
      <c r="M8" s="9">
        <f t="shared" si="2"/>
        <v>8784300</v>
      </c>
      <c r="N8" s="9">
        <f t="shared" si="2"/>
        <v>10696600</v>
      </c>
      <c r="O8" s="9">
        <f t="shared" si="2"/>
        <v>12433900</v>
      </c>
      <c r="P8" s="9">
        <f t="shared" si="2"/>
        <v>14343800</v>
      </c>
      <c r="Q8" s="9">
        <f t="shared" si="2"/>
        <v>16426300</v>
      </c>
      <c r="R8" s="9">
        <f t="shared" si="2"/>
        <v>18508800</v>
      </c>
      <c r="S8" s="9">
        <f t="shared" si="2"/>
        <v>20791300</v>
      </c>
      <c r="T8" s="9">
        <f t="shared" si="2"/>
        <v>23073800</v>
      </c>
      <c r="U8" s="9">
        <f t="shared" si="2"/>
        <v>25356300</v>
      </c>
      <c r="V8" s="9">
        <f t="shared" si="2"/>
        <v>27438800</v>
      </c>
      <c r="W8" s="9">
        <f t="shared" si="2"/>
        <v>29721300</v>
      </c>
      <c r="X8" s="9">
        <f t="shared" si="2"/>
        <v>32003800</v>
      </c>
      <c r="Y8" s="9">
        <f t="shared" si="2"/>
        <v>34086300</v>
      </c>
      <c r="Z8" s="9">
        <f t="shared" si="2"/>
        <v>36168800</v>
      </c>
    </row>
    <row r="11" spans="2:26">
      <c r="B11" s="5" t="s">
        <v>111</v>
      </c>
    </row>
    <row r="12" spans="2:26">
      <c r="B12" s="13" t="s">
        <v>112</v>
      </c>
      <c r="C12" s="8">
        <f>Recettes!C7</f>
        <v>21016600</v>
      </c>
    </row>
    <row r="13" spans="2:26">
      <c r="B13" s="13" t="s">
        <v>113</v>
      </c>
      <c r="C13" s="8">
        <f>Recettes!C8</f>
        <v>40906200</v>
      </c>
    </row>
    <row r="14" spans="2:26">
      <c r="B14" s="13" t="s">
        <v>114</v>
      </c>
      <c r="C14" s="8">
        <f>Charges!C35</f>
        <v>14304000</v>
      </c>
    </row>
    <row r="15" spans="2:26">
      <c r="B15" s="13" t="s">
        <v>115</v>
      </c>
      <c r="C15" s="8">
        <f>Charges!C36</f>
        <v>15434000</v>
      </c>
    </row>
    <row r="16" spans="2:26">
      <c r="B16" s="13" t="s">
        <v>116</v>
      </c>
      <c r="C16" s="8">
        <f>C12-C14</f>
        <v>6712600</v>
      </c>
    </row>
    <row r="17" spans="2:3">
      <c r="B17" s="13" t="s">
        <v>117</v>
      </c>
      <c r="C17" s="8">
        <f>C13-C15</f>
        <v>25472200</v>
      </c>
    </row>
    <row r="18" spans="2:3">
      <c r="B18" s="13" t="s">
        <v>118</v>
      </c>
      <c r="C18" s="8">
        <f>C17*0.3</f>
        <v>7641660</v>
      </c>
    </row>
    <row r="19" spans="2:3">
      <c r="B19" s="5" t="s">
        <v>119</v>
      </c>
      <c r="C19" s="9">
        <f>C17-C16-C18</f>
        <v>11117940</v>
      </c>
    </row>
    <row r="20" spans="2:3">
      <c r="B20" s="5" t="s">
        <v>120</v>
      </c>
      <c r="C20" s="9">
        <v>0</v>
      </c>
    </row>
    <row r="21" spans="2:3">
      <c r="B21" s="13" t="s">
        <v>121</v>
      </c>
      <c r="C21" s="16" t="s">
        <v>137</v>
      </c>
    </row>
    <row r="22" spans="2:3">
      <c r="B22" s="13" t="s">
        <v>122</v>
      </c>
      <c r="C22" s="8">
        <f>Z8</f>
        <v>36168800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3"/>
  <sheetViews>
    <sheetView workbookViewId="0">
      <selection activeCell="C4" sqref="C4"/>
    </sheetView>
  </sheetViews>
  <sheetFormatPr baseColWidth="10" defaultColWidth="8.88671875" defaultRowHeight="14.4"/>
  <cols>
    <col min="2" max="2" width="42" customWidth="1"/>
    <col min="3" max="4" width="16" customWidth="1"/>
  </cols>
  <sheetData>
    <row r="1" spans="2:3">
      <c r="B1" s="1" t="s">
        <v>123</v>
      </c>
    </row>
    <row r="2" spans="2:3">
      <c r="B2" t="s">
        <v>124</v>
      </c>
      <c r="C2" s="14">
        <v>3.3333333333333333E-2</v>
      </c>
    </row>
    <row r="3" spans="2:3">
      <c r="B3" t="s">
        <v>125</v>
      </c>
      <c r="C3" s="3">
        <f>'P&amp;L 24 mois'!C19</f>
        <v>11117940</v>
      </c>
    </row>
    <row r="4" spans="2:3">
      <c r="B4" t="s">
        <v>126</v>
      </c>
      <c r="C4" s="14">
        <v>5635392</v>
      </c>
    </row>
    <row r="5" spans="2:3">
      <c r="B5" t="s">
        <v>127</v>
      </c>
      <c r="C5" s="3">
        <v>187846.39999999999</v>
      </c>
    </row>
    <row r="6" spans="2:3">
      <c r="B6" t="s">
        <v>128</v>
      </c>
      <c r="C6" s="3">
        <v>169061.76000000001</v>
      </c>
    </row>
    <row r="7" spans="2:3">
      <c r="B7" t="s">
        <v>129</v>
      </c>
      <c r="C7" s="3">
        <v>591716.15999999992</v>
      </c>
    </row>
    <row r="8" spans="2:3">
      <c r="B8" t="s">
        <v>130</v>
      </c>
      <c r="C8" s="3">
        <v>70442400</v>
      </c>
    </row>
    <row r="9" spans="2:3">
      <c r="B9" t="s">
        <v>131</v>
      </c>
      <c r="C9" s="3">
        <v>2348080</v>
      </c>
    </row>
    <row r="10" spans="2:3">
      <c r="B10" t="s">
        <v>132</v>
      </c>
      <c r="C10" s="3">
        <v>1000000</v>
      </c>
    </row>
    <row r="11" spans="2:3">
      <c r="B11" s="5" t="s">
        <v>133</v>
      </c>
      <c r="C11" s="9">
        <v>2939796.16</v>
      </c>
    </row>
    <row r="12" spans="2:3">
      <c r="B12" s="5" t="s">
        <v>134</v>
      </c>
      <c r="C12" s="9">
        <v>1939796.16</v>
      </c>
    </row>
    <row r="13" spans="2:3">
      <c r="B13" s="5" t="s">
        <v>135</v>
      </c>
      <c r="C13" s="15">
        <v>1.93979616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Hypotheses</vt:lpstr>
      <vt:lpstr>Recettes</vt:lpstr>
      <vt:lpstr>Charges</vt:lpstr>
      <vt:lpstr>P&amp;L 24 mois</vt:lpstr>
      <vt:lpstr>Investisseur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2026-07-25T22:36:42Z</dcterms:created>
  <dcterms:modified xsi:type="dcterms:W3CDTF">2026-09-29T17:19:51Z</dcterms:modified>
</cp:coreProperties>
</file>