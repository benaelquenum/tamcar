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ERENCE\TamCar\App\"/>
    </mc:Choice>
  </mc:AlternateContent>
  <bookViews>
    <workbookView xWindow="0" yWindow="0" windowWidth="10260" windowHeight="7752"/>
  </bookViews>
  <sheets>
    <sheet name="Actionnaires" sheetId="1" r:id="rId1"/>
    <sheet name="Tableau de bord" sheetId="2" r:id="rId2"/>
    <sheet name="Règles" sheetId="3" r:id="rId3"/>
  </sheets>
  <calcPr calcId="162913"/>
</workbook>
</file>

<file path=xl/calcChain.xml><?xml version="1.0" encoding="utf-8"?>
<calcChain xmlns="http://schemas.openxmlformats.org/spreadsheetml/2006/main">
  <c r="C22" i="2" l="1"/>
  <c r="B22" i="2"/>
  <c r="C21" i="2"/>
  <c r="B21" i="2"/>
  <c r="C20" i="2"/>
  <c r="B20" i="2"/>
  <c r="B9" i="2"/>
  <c r="B8" i="2"/>
  <c r="B4" i="2"/>
  <c r="B3" i="2"/>
  <c r="I26" i="1"/>
  <c r="G26" i="1"/>
  <c r="D22" i="2" s="1"/>
  <c r="F26" i="1"/>
  <c r="B5" i="2" s="1"/>
  <c r="G24" i="1"/>
  <c r="H24" i="1" s="1"/>
  <c r="G23" i="1"/>
  <c r="H23" i="1" s="1"/>
  <c r="G22" i="1"/>
  <c r="H22" i="1" s="1"/>
  <c r="H21" i="1"/>
  <c r="G21" i="1"/>
  <c r="G20" i="1"/>
  <c r="H20" i="1" s="1"/>
  <c r="G19" i="1"/>
  <c r="H19" i="1" s="1"/>
  <c r="G18" i="1"/>
  <c r="H18" i="1" s="1"/>
  <c r="H17" i="1"/>
  <c r="G17" i="1"/>
  <c r="G16" i="1"/>
  <c r="H16" i="1" s="1"/>
  <c r="G15" i="1"/>
  <c r="H15" i="1" s="1"/>
  <c r="G14" i="1"/>
  <c r="H14" i="1" s="1"/>
  <c r="H13" i="1"/>
  <c r="G13" i="1"/>
  <c r="G12" i="1"/>
  <c r="H12" i="1" s="1"/>
  <c r="G11" i="1"/>
  <c r="H11" i="1" s="1"/>
  <c r="G10" i="1"/>
  <c r="H10" i="1" s="1"/>
  <c r="H9" i="1"/>
  <c r="G9" i="1"/>
  <c r="G8" i="1"/>
  <c r="H8" i="1" s="1"/>
  <c r="G7" i="1"/>
  <c r="H7" i="1" s="1"/>
  <c r="G6" i="1"/>
  <c r="H6" i="1" s="1"/>
  <c r="H5" i="1"/>
  <c r="H26" i="1" s="1"/>
  <c r="G5" i="1"/>
  <c r="B15" i="2" l="1"/>
  <c r="B6" i="2"/>
  <c r="B14" i="2"/>
  <c r="B7" i="2"/>
  <c r="D20" i="2"/>
  <c r="B13" i="2"/>
  <c r="D21" i="2"/>
</calcChain>
</file>

<file path=xl/sharedStrings.xml><?xml version="1.0" encoding="utf-8"?>
<sst xmlns="http://schemas.openxmlformats.org/spreadsheetml/2006/main" count="94" uniqueCount="85">
  <si>
    <t>TamCar SARL — Registre des actionnaires</t>
  </si>
  <si>
    <t>Valeur nominale part : 10 000 FCFA · IP fondateur : 20 000 000 FCFA · Min concessionnaire : 500 000 F · Min investisseur : 1 000 000 F</t>
  </si>
  <si>
    <t>Nom complet</t>
  </si>
  <si>
    <t>Type</t>
  </si>
  <si>
    <t>Statut</t>
  </si>
  <si>
    <t>Véhicule apporté</t>
  </si>
  <si>
    <t>Valeur véhicule (indic.) F</t>
  </si>
  <si>
    <t>Cash au capital (F)</t>
  </si>
  <si>
    <t>Parts</t>
  </si>
  <si>
    <t>% capital</t>
  </si>
  <si>
    <t>ADR versé (100k × véh.)</t>
  </si>
  <si>
    <t>Téléphone / Email</t>
  </si>
  <si>
    <t>Terence Beni Raphaël QUENUM</t>
  </si>
  <si>
    <t>Fondateur (IP)</t>
  </si>
  <si>
    <t>Confirmé</t>
  </si>
  <si>
    <t>—</t>
  </si>
  <si>
    <t>terencebeniraphael@gmail.com</t>
  </si>
  <si>
    <t>Ex : Jean K.</t>
  </si>
  <si>
    <t>Concessionnaire</t>
  </si>
  <si>
    <t>Prospect</t>
  </si>
  <si>
    <t>Essentiel (Toyota Yaris)</t>
  </si>
  <si>
    <t>+229 61 XX XX XX</t>
  </si>
  <si>
    <t>Ex : Marie A.</t>
  </si>
  <si>
    <t>LOI signé</t>
  </si>
  <si>
    <t>Confort (Corolla)</t>
  </si>
  <si>
    <t>+229 62 XX XX XX</t>
  </si>
  <si>
    <t>Ex : Paul D.</t>
  </si>
  <si>
    <t>Investisseur</t>
  </si>
  <si>
    <t>Cash versé</t>
  </si>
  <si>
    <t>+229 65 XX XX XX</t>
  </si>
  <si>
    <t>Ex : Cousin</t>
  </si>
  <si>
    <t>TOTAL</t>
  </si>
  <si>
    <t>Mode d'emploi</t>
  </si>
  <si>
    <t>1. La ligne 5 (fondateur) est fixe : ne pas modifier — apport IP 20 M FCFA = 2 000 parts.</t>
  </si>
  <si>
    <t>2. Pour ajouter un souscripteur : va sur une ligne vide (6-24), remplis Nom, Type, Statut, Véhicule (si concessionnaire), Cash au capital, ADR, Contact.</t>
  </si>
  <si>
    <t>3. Les colonnes 'Parts' et '% capital' se calculent automatiquement — ne pas les modifier.</t>
  </si>
  <si>
    <t>4. Statut : Prospect → LOI signé → Cash versé → Confirmé.</t>
  </si>
  <si>
    <t>5. Type : Concessionnaire (véhicule + min 500 k) OU Investisseur (cash pur min 1 M).</t>
  </si>
  <si>
    <t>6. La valeur du véhicule est indicative — elle ne rentre PAS dans le capital (le véhicule reste ta propriété, exploité par TamCar via contrat).</t>
  </si>
  <si>
    <t>7. ADR = 100 000 F par véhicule apporté, en compte courant associé (remboursable via revenus courses).</t>
  </si>
  <si>
    <t>TamCar SARL — Suivi levée capital</t>
  </si>
  <si>
    <t>Capital total (FCFA)</t>
  </si>
  <si>
    <t>dont IP fondateur</t>
  </si>
  <si>
    <t>dont cash levé</t>
  </si>
  <si>
    <t>Nombre total de parts</t>
  </si>
  <si>
    <t>% Terence (fondateur)</t>
  </si>
  <si>
    <t>Nombre d'actionnaires actifs</t>
  </si>
  <si>
    <t>ADR total (compte courant)</t>
  </si>
  <si>
    <t>Alertes contrôle Terence</t>
  </si>
  <si>
    <t>&gt;= 51 % : contrôle absolu (majorité simple)</t>
  </si>
  <si>
    <t>&gt;= 60 % : super-marge de sécurité</t>
  </si>
  <si>
    <t>&gt;= 67 % : super-majorité pour décisions extraordinaires</t>
  </si>
  <si>
    <t>Répartition par catégorie</t>
  </si>
  <si>
    <t>Catégorie</t>
  </si>
  <si>
    <t>Nb associés</t>
  </si>
  <si>
    <t>Cash apporté (F)</t>
  </si>
  <si>
    <t>Concessionnaires</t>
  </si>
  <si>
    <t>Investisseurs</t>
  </si>
  <si>
    <t>Règles du capital TamCar SARL</t>
  </si>
  <si>
    <t>Valeur nominale d'une part sociale</t>
  </si>
  <si>
    <t>10 000 FCFA</t>
  </si>
  <si>
    <t>Apport en nature Terence (IP TamCar)</t>
  </si>
  <si>
    <t>20 000 000 FCFA = 2 000 parts (fixe)</t>
  </si>
  <si>
    <t>Minimum souscription Concessionnaire</t>
  </si>
  <si>
    <t>500 000 F (50 parts) + 1 véhicule minimum</t>
  </si>
  <si>
    <t>Minimum souscription Investisseur passif</t>
  </si>
  <si>
    <t>1 000 000 F (100 parts) — pas de véhicule requis</t>
  </si>
  <si>
    <t>Plafond individuel</t>
  </si>
  <si>
    <t>20 % du capital (aucun associé seul ne peut dépasser)</t>
  </si>
  <si>
    <t>ADR (Avance Démarrage Remboursable)</t>
  </si>
  <si>
    <t>100 000 F par véhicule apporté — en compte courant, hors capital</t>
  </si>
  <si>
    <t>Traitement des véhicules</t>
  </si>
  <si>
    <t>Restent propriété du concessionnaire. Exploités par la SARL via contrat.</t>
  </si>
  <si>
    <t>Contrepartie exploitation véhicule</t>
  </si>
  <si>
    <t>30 % du prix de chaque course (formule cession) — versé mensuellement</t>
  </si>
  <si>
    <t>Split revenus course (formule cession)</t>
  </si>
  <si>
    <t>Chauffeur 40 % · Fonds rachat 10 % · Concessionnaire 30 % · Plateforme 20 %</t>
  </si>
  <si>
    <t>Split revenus course (formule propriétaire)</t>
  </si>
  <si>
    <t>Chauffeur 80 % · Plateforme 20 %</t>
  </si>
  <si>
    <t>Formalité obligatoire OHADA</t>
  </si>
  <si>
    <t>Commissaire aux apports (apport nature &gt; 5 M) — env. 300-500 k FCFA</t>
  </si>
  <si>
    <t>Constitution SARL</t>
  </si>
  <si>
    <t>Une seule AG constitutive avec tous les associés, après phase de collecte 2-3 mois</t>
  </si>
  <si>
    <t>Phase de collecte (avant constitution)</t>
  </si>
  <si>
    <t>Protocole d'accord + compte séquestre bancaire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</si>
</sst>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\ _€_-;\-* #,##0.00\ _€_-;_-* &quot;-&quot;??\ _€_-;_-@_-"/>
    <numFmt numFmtId="165" formatCode="_-* #,##0\ _€_-;\-* #,##0\ _€_-;_-* &quot;-&quot;??\ _€_-;_-@_-"/>
  </numFmts>
  <fonts count="20" x14ac:knownFonts="1">
    <font>
      <sz val="11"/>
      <color theme="1"/>
      <name val="Calibri"/>
      <family val="2"/>
      <scheme val="minor"/>
    </font>
    <font>
      <b/>
      <sz val="16"/>
      <color rgb="FF1E3A8A"/>
      <name val="Calibri"/>
    </font>
    <font>
      <i/>
      <sz val="10"/>
      <color rgb="FF64748B"/>
      <name val="Calibri"/>
    </font>
    <font>
      <b/>
      <sz val="10"/>
      <color rgb="FFFFFFFF"/>
      <name val="Calibri"/>
    </font>
    <font>
      <b/>
      <sz val="10"/>
      <color rgb="FF1E3A8A"/>
      <name val="Calibri"/>
    </font>
    <font>
      <i/>
      <sz val="11"/>
      <color rgb="FF64748B"/>
      <name val="Calibri"/>
    </font>
    <font>
      <b/>
      <sz val="11"/>
      <color rgb="FFFFFFFF"/>
      <name val="Calibri"/>
    </font>
    <font>
      <b/>
      <sz val="12"/>
      <color rgb="FF1E3A8A"/>
      <name val="Calibri"/>
    </font>
    <font>
      <sz val="10"/>
      <color rgb="FF0F172A"/>
      <name val="Calibri"/>
    </font>
    <font>
      <b/>
      <sz val="16"/>
      <color rgb="FF1E3A8A"/>
      <name val="Calibri"/>
    </font>
    <font>
      <b/>
      <sz val="11"/>
      <color rgb="FF64748B"/>
      <name val="Calibri"/>
    </font>
    <font>
      <b/>
      <sz val="14"/>
      <color rgb="FF1E3A8A"/>
      <name val="Calibri"/>
    </font>
    <font>
      <b/>
      <sz val="12"/>
      <color rgb="FF1E3A8A"/>
      <name val="Calibri"/>
    </font>
    <font>
      <sz val="10"/>
      <color rgb="FF64748B"/>
      <name val="Calibri"/>
    </font>
    <font>
      <b/>
      <sz val="11"/>
      <name val="Calibri"/>
    </font>
    <font>
      <b/>
      <sz val="10"/>
      <color rgb="FFFFFFFF"/>
      <name val="Calibri"/>
    </font>
    <font>
      <sz val="10"/>
      <name val="Calibri"/>
    </font>
    <font>
      <b/>
      <sz val="11"/>
      <color rgb="FF0F172A"/>
      <name val="Calibri"/>
    </font>
    <font>
      <sz val="11"/>
      <color rgb="FF1E3A8A"/>
      <name val="Calibri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1E3A8A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medium">
        <color rgb="FF1E3A8A"/>
      </bottom>
      <diagonal/>
    </border>
    <border>
      <left/>
      <right/>
      <top/>
      <bottom style="thin">
        <color rgb="FFE2E8F0"/>
      </bottom>
      <diagonal/>
    </border>
    <border>
      <left/>
      <right/>
      <top style="medium">
        <color rgb="FF1E3A8A"/>
      </top>
      <bottom/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4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3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0" fillId="4" borderId="3" xfId="0" applyFill="1" applyBorder="1"/>
    <xf numFmtId="3" fontId="6" fillId="4" borderId="3" xfId="0" applyNumberFormat="1" applyFont="1" applyFill="1" applyBorder="1" applyAlignment="1">
      <alignment horizontal="center" vertical="center"/>
    </xf>
    <xf numFmtId="10" fontId="6" fillId="4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3" fontId="11" fillId="0" borderId="0" xfId="0" applyNumberFormat="1" applyFont="1" applyAlignment="1">
      <alignment horizontal="right" vertical="center"/>
    </xf>
    <xf numFmtId="10" fontId="11" fillId="0" borderId="0" xfId="0" applyNumberFormat="1" applyFont="1" applyAlignment="1">
      <alignment horizontal="right"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2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7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7" fillId="0" borderId="0" xfId="0" applyFont="1"/>
    <xf numFmtId="0" fontId="9" fillId="0" borderId="0" xfId="0" applyFont="1"/>
    <xf numFmtId="0" fontId="12" fillId="0" borderId="0" xfId="0" applyFont="1"/>
    <xf numFmtId="165" fontId="0" fillId="0" borderId="0" xfId="1" applyNumberFormat="1" applyFont="1"/>
    <xf numFmtId="165" fontId="3" fillId="2" borderId="1" xfId="1" applyNumberFormat="1" applyFont="1" applyFill="1" applyBorder="1" applyAlignment="1">
      <alignment horizontal="center" vertical="center" wrapText="1"/>
    </xf>
    <xf numFmtId="165" fontId="4" fillId="3" borderId="0" xfId="1" applyNumberFormat="1" applyFont="1" applyFill="1" applyAlignment="1">
      <alignment horizontal="center" vertical="center"/>
    </xf>
    <xf numFmtId="165" fontId="5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showGridLines="0" tabSelected="1" workbookViewId="0">
      <selection activeCell="E11" sqref="E11"/>
    </sheetView>
  </sheetViews>
  <sheetFormatPr baseColWidth="10" defaultColWidth="8.88671875" defaultRowHeight="14.4" x14ac:dyDescent="0.3"/>
  <cols>
    <col min="1" max="1" width="27.6640625" customWidth="1"/>
    <col min="2" max="2" width="18" customWidth="1"/>
    <col min="3" max="3" width="20" customWidth="1"/>
    <col min="4" max="4" width="22" customWidth="1"/>
    <col min="5" max="5" width="20" customWidth="1"/>
    <col min="6" max="6" width="20" style="35" customWidth="1"/>
    <col min="7" max="7" width="10" customWidth="1"/>
    <col min="8" max="8" width="12" customWidth="1"/>
    <col min="9" max="9" width="22" customWidth="1"/>
    <col min="10" max="10" width="26" customWidth="1"/>
  </cols>
  <sheetData>
    <row r="1" spans="1:10" ht="28.05" customHeight="1" x14ac:dyDescent="0.3">
      <c r="A1" s="31" t="s">
        <v>0</v>
      </c>
      <c r="B1" s="29"/>
      <c r="C1" s="29"/>
      <c r="D1" s="29"/>
      <c r="E1" s="29"/>
      <c r="F1" s="29"/>
      <c r="G1" s="29"/>
      <c r="H1" s="29"/>
      <c r="I1" s="29"/>
    </row>
    <row r="2" spans="1:10" ht="18" customHeight="1" x14ac:dyDescent="0.3">
      <c r="A2" s="30" t="s">
        <v>1</v>
      </c>
      <c r="B2" s="29"/>
      <c r="C2" s="29"/>
      <c r="D2" s="29"/>
      <c r="E2" s="29"/>
      <c r="F2" s="29"/>
      <c r="G2" s="29"/>
      <c r="H2" s="29"/>
      <c r="I2" s="29"/>
    </row>
    <row r="3" spans="1:10" ht="7.95" customHeight="1" x14ac:dyDescent="0.3"/>
    <row r="4" spans="1:10" ht="36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36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 x14ac:dyDescent="0.3">
      <c r="A5" s="2" t="s">
        <v>12</v>
      </c>
      <c r="B5" s="3" t="s">
        <v>13</v>
      </c>
      <c r="C5" s="3" t="s">
        <v>14</v>
      </c>
      <c r="D5" s="2" t="s">
        <v>15</v>
      </c>
      <c r="E5" s="3" t="s">
        <v>15</v>
      </c>
      <c r="F5" s="37">
        <v>20000000</v>
      </c>
      <c r="G5" s="4">
        <f>F5/10000</f>
        <v>2000</v>
      </c>
      <c r="H5" s="5">
        <f t="shared" ref="H5:H24" si="0">IFERROR(G5/G$26,"")</f>
        <v>0.77519379844961245</v>
      </c>
      <c r="I5" s="3" t="s">
        <v>15</v>
      </c>
      <c r="J5" s="2" t="s">
        <v>16</v>
      </c>
    </row>
    <row r="6" spans="1:10" ht="18" customHeight="1" x14ac:dyDescent="0.3">
      <c r="A6" s="6" t="s">
        <v>17</v>
      </c>
      <c r="B6" s="7" t="s">
        <v>18</v>
      </c>
      <c r="C6" s="7" t="s">
        <v>19</v>
      </c>
      <c r="D6" s="6" t="s">
        <v>20</v>
      </c>
      <c r="E6" s="8">
        <v>3000000</v>
      </c>
      <c r="F6" s="38">
        <v>500000</v>
      </c>
      <c r="G6" s="9">
        <f t="shared" ref="G6:G24" si="1">IF(ISNUMBER(F6),F6/10000,"")</f>
        <v>50</v>
      </c>
      <c r="H6" s="10">
        <f t="shared" si="0"/>
        <v>1.937984496124031E-2</v>
      </c>
      <c r="I6" s="8">
        <v>100000</v>
      </c>
      <c r="J6" s="6" t="s">
        <v>21</v>
      </c>
    </row>
    <row r="7" spans="1:10" ht="18" customHeight="1" x14ac:dyDescent="0.3">
      <c r="A7" s="6" t="s">
        <v>22</v>
      </c>
      <c r="B7" s="7" t="s">
        <v>18</v>
      </c>
      <c r="C7" s="7" t="s">
        <v>23</v>
      </c>
      <c r="D7" s="6" t="s">
        <v>24</v>
      </c>
      <c r="E7" s="8">
        <v>4500000</v>
      </c>
      <c r="F7" s="38">
        <v>800000</v>
      </c>
      <c r="G7" s="9">
        <f t="shared" si="1"/>
        <v>80</v>
      </c>
      <c r="H7" s="10">
        <f t="shared" si="0"/>
        <v>3.1007751937984496E-2</v>
      </c>
      <c r="I7" s="8">
        <v>100000</v>
      </c>
      <c r="J7" s="6" t="s">
        <v>25</v>
      </c>
    </row>
    <row r="8" spans="1:10" ht="18" customHeight="1" x14ac:dyDescent="0.3">
      <c r="A8" s="6" t="s">
        <v>26</v>
      </c>
      <c r="B8" s="7" t="s">
        <v>27</v>
      </c>
      <c r="C8" s="7" t="s">
        <v>28</v>
      </c>
      <c r="D8" s="6" t="s">
        <v>15</v>
      </c>
      <c r="E8" s="9"/>
      <c r="F8" s="38">
        <v>3000000</v>
      </c>
      <c r="G8" s="9">
        <f t="shared" si="1"/>
        <v>300</v>
      </c>
      <c r="H8" s="10">
        <f t="shared" si="0"/>
        <v>0.11627906976744186</v>
      </c>
      <c r="I8" s="9"/>
      <c r="J8" s="6" t="s">
        <v>29</v>
      </c>
    </row>
    <row r="9" spans="1:10" ht="18" customHeight="1" x14ac:dyDescent="0.3">
      <c r="A9" s="6" t="s">
        <v>30</v>
      </c>
      <c r="B9" s="7" t="s">
        <v>27</v>
      </c>
      <c r="C9" s="7" t="s">
        <v>19</v>
      </c>
      <c r="D9" s="6" t="s">
        <v>15</v>
      </c>
      <c r="E9" s="9"/>
      <c r="F9" s="38">
        <v>1500000</v>
      </c>
      <c r="G9" s="9">
        <f t="shared" si="1"/>
        <v>150</v>
      </c>
      <c r="H9" s="10">
        <f t="shared" si="0"/>
        <v>5.8139534883720929E-2</v>
      </c>
      <c r="I9" s="9"/>
      <c r="J9" s="6"/>
    </row>
    <row r="10" spans="1:10" ht="18" customHeight="1" x14ac:dyDescent="0.3">
      <c r="A10" s="11"/>
      <c r="B10" s="12"/>
      <c r="C10" s="12"/>
      <c r="D10" s="11"/>
      <c r="E10" s="9"/>
      <c r="F10" s="39"/>
      <c r="G10" s="9" t="str">
        <f t="shared" si="1"/>
        <v/>
      </c>
      <c r="H10" s="10" t="str">
        <f t="shared" si="0"/>
        <v/>
      </c>
      <c r="I10" s="9"/>
      <c r="J10" s="11"/>
    </row>
    <row r="11" spans="1:10" ht="18" customHeight="1" x14ac:dyDescent="0.3">
      <c r="A11" s="11"/>
      <c r="B11" s="12"/>
      <c r="C11" s="12"/>
      <c r="D11" s="11"/>
      <c r="E11" s="9"/>
      <c r="F11" s="39"/>
      <c r="G11" s="9" t="str">
        <f t="shared" si="1"/>
        <v/>
      </c>
      <c r="H11" s="10" t="str">
        <f t="shared" si="0"/>
        <v/>
      </c>
      <c r="I11" s="9"/>
      <c r="J11" s="11"/>
    </row>
    <row r="12" spans="1:10" ht="18" customHeight="1" x14ac:dyDescent="0.3">
      <c r="A12" s="11"/>
      <c r="B12" s="12"/>
      <c r="C12" s="12"/>
      <c r="D12" s="11"/>
      <c r="E12" s="9"/>
      <c r="F12" s="39"/>
      <c r="G12" s="9" t="str">
        <f t="shared" si="1"/>
        <v/>
      </c>
      <c r="H12" s="10" t="str">
        <f t="shared" si="0"/>
        <v/>
      </c>
      <c r="I12" s="9"/>
      <c r="J12" s="11"/>
    </row>
    <row r="13" spans="1:10" ht="18" customHeight="1" x14ac:dyDescent="0.3">
      <c r="A13" s="11"/>
      <c r="B13" s="12"/>
      <c r="C13" s="12"/>
      <c r="D13" s="11"/>
      <c r="E13" s="9"/>
      <c r="F13" s="39"/>
      <c r="G13" s="9" t="str">
        <f t="shared" si="1"/>
        <v/>
      </c>
      <c r="H13" s="10" t="str">
        <f t="shared" si="0"/>
        <v/>
      </c>
      <c r="I13" s="9"/>
      <c r="J13" s="11"/>
    </row>
    <row r="14" spans="1:10" ht="18" customHeight="1" x14ac:dyDescent="0.3">
      <c r="A14" s="11"/>
      <c r="B14" s="12"/>
      <c r="C14" s="12"/>
      <c r="D14" s="11"/>
      <c r="E14" s="9"/>
      <c r="F14" s="39"/>
      <c r="G14" s="9" t="str">
        <f t="shared" si="1"/>
        <v/>
      </c>
      <c r="H14" s="10" t="str">
        <f t="shared" si="0"/>
        <v/>
      </c>
      <c r="I14" s="9"/>
      <c r="J14" s="11"/>
    </row>
    <row r="15" spans="1:10" ht="18" customHeight="1" x14ac:dyDescent="0.3">
      <c r="A15" s="11"/>
      <c r="B15" s="12"/>
      <c r="C15" s="12"/>
      <c r="D15" s="11"/>
      <c r="E15" s="9"/>
      <c r="F15" s="39"/>
      <c r="G15" s="9" t="str">
        <f t="shared" si="1"/>
        <v/>
      </c>
      <c r="H15" s="10" t="str">
        <f t="shared" si="0"/>
        <v/>
      </c>
      <c r="I15" s="9"/>
      <c r="J15" s="11"/>
    </row>
    <row r="16" spans="1:10" ht="18" customHeight="1" x14ac:dyDescent="0.3">
      <c r="A16" s="11"/>
      <c r="B16" s="12"/>
      <c r="C16" s="12"/>
      <c r="D16" s="11"/>
      <c r="E16" s="9"/>
      <c r="F16" s="39"/>
      <c r="G16" s="9" t="str">
        <f t="shared" si="1"/>
        <v/>
      </c>
      <c r="H16" s="10" t="str">
        <f t="shared" si="0"/>
        <v/>
      </c>
      <c r="I16" s="9"/>
      <c r="J16" s="11"/>
    </row>
    <row r="17" spans="1:10" ht="18" customHeight="1" x14ac:dyDescent="0.3">
      <c r="A17" s="11"/>
      <c r="B17" s="12"/>
      <c r="C17" s="12"/>
      <c r="D17" s="11"/>
      <c r="E17" s="9"/>
      <c r="F17" s="39"/>
      <c r="G17" s="9" t="str">
        <f t="shared" si="1"/>
        <v/>
      </c>
      <c r="H17" s="10" t="str">
        <f t="shared" si="0"/>
        <v/>
      </c>
      <c r="I17" s="9"/>
      <c r="J17" s="11"/>
    </row>
    <row r="18" spans="1:10" ht="18" customHeight="1" x14ac:dyDescent="0.3">
      <c r="A18" s="11"/>
      <c r="B18" s="12"/>
      <c r="C18" s="12"/>
      <c r="D18" s="11"/>
      <c r="E18" s="9"/>
      <c r="F18" s="39"/>
      <c r="G18" s="9" t="str">
        <f t="shared" si="1"/>
        <v/>
      </c>
      <c r="H18" s="10" t="str">
        <f t="shared" si="0"/>
        <v/>
      </c>
      <c r="I18" s="9"/>
      <c r="J18" s="11"/>
    </row>
    <row r="19" spans="1:10" ht="18" customHeight="1" x14ac:dyDescent="0.3">
      <c r="A19" s="11"/>
      <c r="B19" s="12"/>
      <c r="C19" s="12"/>
      <c r="D19" s="11"/>
      <c r="E19" s="9"/>
      <c r="F19" s="39"/>
      <c r="G19" s="9" t="str">
        <f t="shared" si="1"/>
        <v/>
      </c>
      <c r="H19" s="10" t="str">
        <f t="shared" si="0"/>
        <v/>
      </c>
      <c r="I19" s="9"/>
      <c r="J19" s="11"/>
    </row>
    <row r="20" spans="1:10" ht="18" customHeight="1" x14ac:dyDescent="0.3">
      <c r="A20" s="11"/>
      <c r="B20" s="12"/>
      <c r="C20" s="12"/>
      <c r="D20" s="11"/>
      <c r="E20" s="9"/>
      <c r="F20" s="39"/>
      <c r="G20" s="9" t="str">
        <f t="shared" si="1"/>
        <v/>
      </c>
      <c r="H20" s="10" t="str">
        <f t="shared" si="0"/>
        <v/>
      </c>
      <c r="I20" s="9"/>
      <c r="J20" s="11"/>
    </row>
    <row r="21" spans="1:10" ht="18" customHeight="1" x14ac:dyDescent="0.3">
      <c r="A21" s="11"/>
      <c r="B21" s="12"/>
      <c r="C21" s="12"/>
      <c r="D21" s="11"/>
      <c r="E21" s="9"/>
      <c r="F21" s="39"/>
      <c r="G21" s="9" t="str">
        <f t="shared" si="1"/>
        <v/>
      </c>
      <c r="H21" s="10" t="str">
        <f t="shared" si="0"/>
        <v/>
      </c>
      <c r="I21" s="9"/>
      <c r="J21" s="11"/>
    </row>
    <row r="22" spans="1:10" ht="18" customHeight="1" x14ac:dyDescent="0.3">
      <c r="A22" s="11"/>
      <c r="B22" s="12"/>
      <c r="C22" s="12"/>
      <c r="D22" s="11"/>
      <c r="E22" s="9"/>
      <c r="F22" s="39"/>
      <c r="G22" s="9" t="str">
        <f t="shared" si="1"/>
        <v/>
      </c>
      <c r="H22" s="10" t="str">
        <f t="shared" si="0"/>
        <v/>
      </c>
      <c r="I22" s="9"/>
      <c r="J22" s="11"/>
    </row>
    <row r="23" spans="1:10" ht="18" customHeight="1" x14ac:dyDescent="0.3">
      <c r="A23" s="11"/>
      <c r="B23" s="12"/>
      <c r="C23" s="12"/>
      <c r="D23" s="11"/>
      <c r="E23" s="9"/>
      <c r="F23" s="39"/>
      <c r="G23" s="9" t="str">
        <f t="shared" si="1"/>
        <v/>
      </c>
      <c r="H23" s="10" t="str">
        <f t="shared" si="0"/>
        <v/>
      </c>
      <c r="I23" s="9"/>
      <c r="J23" s="11"/>
    </row>
    <row r="24" spans="1:10" ht="18" customHeight="1" x14ac:dyDescent="0.3">
      <c r="A24" s="11"/>
      <c r="B24" s="12"/>
      <c r="C24" s="12"/>
      <c r="D24" s="11"/>
      <c r="E24" s="9"/>
      <c r="F24" s="39"/>
      <c r="G24" s="9" t="str">
        <f t="shared" si="1"/>
        <v/>
      </c>
      <c r="H24" s="10" t="str">
        <f t="shared" si="0"/>
        <v/>
      </c>
      <c r="I24" s="9"/>
      <c r="J24" s="11"/>
    </row>
    <row r="25" spans="1:10" ht="6" customHeight="1" x14ac:dyDescent="0.3"/>
    <row r="26" spans="1:10" ht="25.95" customHeight="1" x14ac:dyDescent="0.3">
      <c r="A26" s="13" t="s">
        <v>31</v>
      </c>
      <c r="B26" s="14"/>
      <c r="C26" s="14"/>
      <c r="D26" s="14"/>
      <c r="E26" s="14"/>
      <c r="F26" s="40">
        <f>SUM(F5:F24)</f>
        <v>25800000</v>
      </c>
      <c r="G26" s="15">
        <f>SUM(G5:G24)</f>
        <v>2580</v>
      </c>
      <c r="H26" s="16">
        <f>IFERROR(SUM(H5:H24),"")</f>
        <v>1.0000000000000002</v>
      </c>
      <c r="I26" s="15">
        <f>SUM(I5:I24)</f>
        <v>200000</v>
      </c>
      <c r="J26" s="14"/>
    </row>
    <row r="29" spans="1:10" ht="15.6" x14ac:dyDescent="0.3">
      <c r="A29" s="32" t="s">
        <v>32</v>
      </c>
      <c r="B29" s="29"/>
      <c r="C29" s="29"/>
      <c r="D29" s="29"/>
      <c r="E29" s="29"/>
      <c r="F29" s="29"/>
      <c r="G29" s="29"/>
      <c r="H29" s="29"/>
      <c r="I29" s="29"/>
      <c r="J29" s="29"/>
    </row>
    <row r="30" spans="1:10" x14ac:dyDescent="0.3">
      <c r="A30" s="28" t="s">
        <v>33</v>
      </c>
      <c r="B30" s="29"/>
      <c r="C30" s="29"/>
      <c r="D30" s="29"/>
      <c r="E30" s="29"/>
      <c r="F30" s="29"/>
      <c r="G30" s="29"/>
      <c r="H30" s="29"/>
      <c r="I30" s="29"/>
      <c r="J30" s="29"/>
    </row>
    <row r="31" spans="1:10" x14ac:dyDescent="0.3">
      <c r="A31" s="28" t="s">
        <v>34</v>
      </c>
      <c r="B31" s="29"/>
      <c r="C31" s="29"/>
      <c r="D31" s="29"/>
      <c r="E31" s="29"/>
      <c r="F31" s="29"/>
      <c r="G31" s="29"/>
      <c r="H31" s="29"/>
      <c r="I31" s="29"/>
      <c r="J31" s="29"/>
    </row>
    <row r="32" spans="1:10" x14ac:dyDescent="0.3">
      <c r="A32" s="28" t="s">
        <v>35</v>
      </c>
      <c r="B32" s="29"/>
      <c r="C32" s="29"/>
      <c r="D32" s="29"/>
      <c r="E32" s="29"/>
      <c r="F32" s="29"/>
      <c r="G32" s="29"/>
      <c r="H32" s="29"/>
      <c r="I32" s="29"/>
      <c r="J32" s="29"/>
    </row>
    <row r="33" spans="1:10" x14ac:dyDescent="0.3">
      <c r="A33" s="28" t="s">
        <v>36</v>
      </c>
      <c r="B33" s="29"/>
      <c r="C33" s="29"/>
      <c r="D33" s="29"/>
      <c r="E33" s="29"/>
      <c r="F33" s="29"/>
      <c r="G33" s="29"/>
      <c r="H33" s="29"/>
      <c r="I33" s="29"/>
      <c r="J33" s="29"/>
    </row>
    <row r="34" spans="1:10" x14ac:dyDescent="0.3">
      <c r="A34" s="28" t="s">
        <v>37</v>
      </c>
      <c r="B34" s="29"/>
      <c r="C34" s="29"/>
      <c r="D34" s="29"/>
      <c r="E34" s="29"/>
      <c r="F34" s="29"/>
      <c r="G34" s="29"/>
      <c r="H34" s="29"/>
      <c r="I34" s="29"/>
      <c r="J34" s="29"/>
    </row>
    <row r="35" spans="1:10" x14ac:dyDescent="0.3">
      <c r="A35" s="28" t="s">
        <v>38</v>
      </c>
      <c r="B35" s="29"/>
      <c r="C35" s="29"/>
      <c r="D35" s="29"/>
      <c r="E35" s="29"/>
      <c r="F35" s="29"/>
      <c r="G35" s="29"/>
      <c r="H35" s="29"/>
      <c r="I35" s="29"/>
      <c r="J35" s="29"/>
    </row>
    <row r="36" spans="1:10" x14ac:dyDescent="0.3">
      <c r="A36" s="28" t="s">
        <v>39</v>
      </c>
      <c r="B36" s="29"/>
      <c r="C36" s="29"/>
      <c r="D36" s="29"/>
      <c r="E36" s="29"/>
      <c r="F36" s="29"/>
      <c r="G36" s="29"/>
      <c r="H36" s="29"/>
      <c r="I36" s="29"/>
      <c r="J36" s="29"/>
    </row>
  </sheetData>
  <mergeCells count="10">
    <mergeCell ref="A1:I1"/>
    <mergeCell ref="A34:J34"/>
    <mergeCell ref="A29:J29"/>
    <mergeCell ref="A35:J35"/>
    <mergeCell ref="A33:J33"/>
    <mergeCell ref="A32:J32"/>
    <mergeCell ref="A2:I2"/>
    <mergeCell ref="A31:J31"/>
    <mergeCell ref="A36:J36"/>
    <mergeCell ref="A30:J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workbookViewId="0"/>
  </sheetViews>
  <sheetFormatPr baseColWidth="10" defaultColWidth="8.88671875" defaultRowHeight="14.4" x14ac:dyDescent="0.3"/>
  <cols>
    <col min="1" max="1" width="42" customWidth="1"/>
    <col min="2" max="3" width="22" customWidth="1"/>
    <col min="4" max="4" width="18" customWidth="1"/>
  </cols>
  <sheetData>
    <row r="1" spans="1:4" ht="28.05" customHeight="1" x14ac:dyDescent="0.4">
      <c r="A1" s="33" t="s">
        <v>40</v>
      </c>
      <c r="B1" s="29"/>
      <c r="C1" s="29"/>
      <c r="D1" s="29"/>
    </row>
    <row r="3" spans="1:4" ht="24" customHeight="1" x14ac:dyDescent="0.3">
      <c r="A3" s="17" t="s">
        <v>41</v>
      </c>
      <c r="B3" s="18">
        <f>Actionnaires!F26+20000000</f>
        <v>45800000</v>
      </c>
    </row>
    <row r="4" spans="1:4" ht="24" customHeight="1" x14ac:dyDescent="0.3">
      <c r="A4" s="17" t="s">
        <v>42</v>
      </c>
      <c r="B4" s="18">
        <f>20000000</f>
        <v>20000000</v>
      </c>
    </row>
    <row r="5" spans="1:4" ht="24" customHeight="1" x14ac:dyDescent="0.3">
      <c r="A5" s="17" t="s">
        <v>43</v>
      </c>
      <c r="B5" s="18">
        <f>Actionnaires!F26-20000000</f>
        <v>5800000</v>
      </c>
    </row>
    <row r="6" spans="1:4" ht="24" customHeight="1" x14ac:dyDescent="0.3">
      <c r="A6" s="17" t="s">
        <v>44</v>
      </c>
      <c r="B6" s="18">
        <f>Actionnaires!G26</f>
        <v>2580</v>
      </c>
    </row>
    <row r="7" spans="1:4" ht="24" customHeight="1" x14ac:dyDescent="0.3">
      <c r="A7" s="17" t="s">
        <v>45</v>
      </c>
      <c r="B7" s="19">
        <f>IFERROR(2000/Actionnaires!G26,"")</f>
        <v>0.77519379844961245</v>
      </c>
    </row>
    <row r="8" spans="1:4" ht="24" customHeight="1" x14ac:dyDescent="0.3">
      <c r="A8" s="17" t="s">
        <v>46</v>
      </c>
      <c r="B8" s="18">
        <f>COUNTIF(Actionnaires!C6:C24,"Cash versé")+COUNTIF(Actionnaires!C6:C24,"Confirmé")+1</f>
        <v>2</v>
      </c>
    </row>
    <row r="9" spans="1:4" ht="24" customHeight="1" x14ac:dyDescent="0.3">
      <c r="A9" s="17" t="s">
        <v>47</v>
      </c>
      <c r="B9" s="18">
        <f>Actionnaires!I26</f>
        <v>200000</v>
      </c>
    </row>
    <row r="12" spans="1:4" ht="15.6" x14ac:dyDescent="0.3">
      <c r="A12" s="34" t="s">
        <v>48</v>
      </c>
      <c r="B12" s="29"/>
      <c r="C12" s="29"/>
      <c r="D12" s="29"/>
    </row>
    <row r="13" spans="1:4" ht="22.05" customHeight="1" x14ac:dyDescent="0.3">
      <c r="A13" s="20" t="s">
        <v>49</v>
      </c>
      <c r="B13" s="21" t="str">
        <f>IF(IFERROR(2000/Actionnaires!G26,0)&gt;=0.51,"OK — majorité absolue conservée","ATTENTION — Terence n'a plus la majorité")</f>
        <v>OK — majorité absolue conservée</v>
      </c>
    </row>
    <row r="14" spans="1:4" ht="22.05" customHeight="1" x14ac:dyDescent="0.3">
      <c r="A14" s="20" t="s">
        <v>50</v>
      </c>
      <c r="B14" s="21" t="str">
        <f>IF(IFERROR(2000/Actionnaires!G26,0)&gt;=0.6,"OK — position confortable","Zone modérée — vérifie tes objectifs")</f>
        <v>OK — position confortable</v>
      </c>
    </row>
    <row r="15" spans="1:4" ht="22.05" customHeight="1" x14ac:dyDescent="0.3">
      <c r="A15" s="20" t="s">
        <v>51</v>
      </c>
      <c r="B15" s="21" t="str">
        <f>IF(IFERROR(2000/Actionnaires!G26,0)&gt;=0.6667,"OK — décisions extraordinaires libres","Attention — tu dépends de tiers pour décisions extraordinaires")</f>
        <v>OK — décisions extraordinaires libres</v>
      </c>
    </row>
    <row r="18" spans="1:4" ht="15.6" x14ac:dyDescent="0.3">
      <c r="A18" s="34" t="s">
        <v>52</v>
      </c>
      <c r="B18" s="29"/>
      <c r="C18" s="29"/>
      <c r="D18" s="29"/>
    </row>
    <row r="19" spans="1:4" x14ac:dyDescent="0.3">
      <c r="A19" s="22" t="s">
        <v>53</v>
      </c>
      <c r="B19" s="22" t="s">
        <v>54</v>
      </c>
      <c r="C19" s="22" t="s">
        <v>55</v>
      </c>
      <c r="D19" s="22" t="s">
        <v>9</v>
      </c>
    </row>
    <row r="20" spans="1:4" x14ac:dyDescent="0.3">
      <c r="A20" s="23" t="s">
        <v>13</v>
      </c>
      <c r="B20" s="24">
        <f>1</f>
        <v>1</v>
      </c>
      <c r="C20" s="24">
        <f>20000000</f>
        <v>20000000</v>
      </c>
      <c r="D20" s="25">
        <f>IFERROR(2000/Actionnaires!G26,0)</f>
        <v>0.77519379844961245</v>
      </c>
    </row>
    <row r="21" spans="1:4" x14ac:dyDescent="0.3">
      <c r="A21" s="23" t="s">
        <v>56</v>
      </c>
      <c r="B21" s="24">
        <f>COUNTIF(Actionnaires!B6:B24,"Concessionnaire")</f>
        <v>2</v>
      </c>
      <c r="C21" s="24">
        <f>SUMIF(Actionnaires!B6:B24,"Concessionnaire",Actionnaires!F6:F24)</f>
        <v>1300000</v>
      </c>
      <c r="D21" s="25">
        <f>IFERROR(SUMIF(Actionnaires!B6:B24,"Concessionnaire",Actionnaires!G6:G24)/Actionnaires!G26,0)</f>
        <v>5.0387596899224806E-2</v>
      </c>
    </row>
    <row r="22" spans="1:4" x14ac:dyDescent="0.3">
      <c r="A22" s="23" t="s">
        <v>57</v>
      </c>
      <c r="B22" s="24">
        <f>COUNTIF(Actionnaires!B6:B24,"Investisseur")</f>
        <v>2</v>
      </c>
      <c r="C22" s="24">
        <f>SUMIF(Actionnaires!B6:B24,"Investisseur",Actionnaires!F6:F24)</f>
        <v>4500000</v>
      </c>
      <c r="D22" s="25">
        <f>IFERROR(SUMIF(Actionnaires!B6:B24,"Investisseur",Actionnaires!G6:G24)/Actionnaires!G26,0)</f>
        <v>0.1744186046511628</v>
      </c>
    </row>
  </sheetData>
  <mergeCells count="3">
    <mergeCell ref="A1:D1"/>
    <mergeCell ref="A12:D12"/>
    <mergeCell ref="A18:D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showGridLines="0" workbookViewId="0"/>
  </sheetViews>
  <sheetFormatPr baseColWidth="10" defaultColWidth="8.88671875" defaultRowHeight="14.4" x14ac:dyDescent="0.3"/>
  <cols>
    <col min="1" max="1" width="45" customWidth="1"/>
    <col min="2" max="2" width="65" customWidth="1"/>
  </cols>
  <sheetData>
    <row r="1" spans="1:2" ht="28.05" customHeight="1" x14ac:dyDescent="0.4">
      <c r="A1" s="33" t="s">
        <v>58</v>
      </c>
      <c r="B1" s="29"/>
    </row>
    <row r="3" spans="1:2" ht="24" customHeight="1" x14ac:dyDescent="0.3">
      <c r="A3" s="26" t="s">
        <v>59</v>
      </c>
      <c r="B3" s="27" t="s">
        <v>60</v>
      </c>
    </row>
    <row r="4" spans="1:2" ht="24" customHeight="1" x14ac:dyDescent="0.3">
      <c r="A4" s="26" t="s">
        <v>61</v>
      </c>
      <c r="B4" s="27" t="s">
        <v>62</v>
      </c>
    </row>
    <row r="5" spans="1:2" ht="24" customHeight="1" x14ac:dyDescent="0.3">
      <c r="A5" s="26" t="s">
        <v>63</v>
      </c>
      <c r="B5" s="27" t="s">
        <v>64</v>
      </c>
    </row>
    <row r="6" spans="1:2" ht="24" customHeight="1" x14ac:dyDescent="0.3">
      <c r="A6" s="26" t="s">
        <v>65</v>
      </c>
      <c r="B6" s="27" t="s">
        <v>66</v>
      </c>
    </row>
    <row r="7" spans="1:2" ht="24" customHeight="1" x14ac:dyDescent="0.3">
      <c r="A7" s="26" t="s">
        <v>67</v>
      </c>
      <c r="B7" s="27" t="s">
        <v>68</v>
      </c>
    </row>
    <row r="8" spans="1:2" ht="24" customHeight="1" x14ac:dyDescent="0.3">
      <c r="A8" s="26" t="s">
        <v>69</v>
      </c>
      <c r="B8" s="27" t="s">
        <v>70</v>
      </c>
    </row>
    <row r="9" spans="1:2" ht="24" customHeight="1" x14ac:dyDescent="0.3">
      <c r="A9" s="26" t="s">
        <v>71</v>
      </c>
      <c r="B9" s="27" t="s">
        <v>72</v>
      </c>
    </row>
    <row r="10" spans="1:2" ht="24" customHeight="1" x14ac:dyDescent="0.3">
      <c r="A10" s="26" t="s">
        <v>73</v>
      </c>
      <c r="B10" s="27" t="s">
        <v>74</v>
      </c>
    </row>
    <row r="11" spans="1:2" ht="24" customHeight="1" x14ac:dyDescent="0.3">
      <c r="A11" s="26" t="s">
        <v>75</v>
      </c>
      <c r="B11" s="27" t="s">
        <v>76</v>
      </c>
    </row>
    <row r="12" spans="1:2" ht="24" customHeight="1" x14ac:dyDescent="0.3">
      <c r="A12" s="26" t="s">
        <v>77</v>
      </c>
      <c r="B12" s="27" t="s">
        <v>78</v>
      </c>
    </row>
    <row r="13" spans="1:2" ht="24" customHeight="1" x14ac:dyDescent="0.3">
      <c r="A13" s="26" t="s">
        <v>79</v>
      </c>
      <c r="B13" s="27" t="s">
        <v>80</v>
      </c>
    </row>
    <row r="14" spans="1:2" ht="24" customHeight="1" x14ac:dyDescent="0.3">
      <c r="A14" s="26" t="s">
        <v>81</v>
      </c>
      <c r="B14" s="27" t="s">
        <v>82</v>
      </c>
    </row>
    <row r="15" spans="1:2" ht="24" customHeight="1" x14ac:dyDescent="0.3">
      <c r="A15" s="26" t="s">
        <v>83</v>
      </c>
      <c r="B15" s="27" t="s">
        <v>84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Actionnaires</vt:lpstr>
      <vt:lpstr>Tableau de bord</vt:lpstr>
      <vt:lpstr>Règles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2026-07-20T21:41:44Z</dcterms:created>
  <dcterms:modified xsi:type="dcterms:W3CDTF">2026-07-22T02:09:17Z</dcterms:modified>
</cp:coreProperties>
</file>