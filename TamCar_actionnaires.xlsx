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naires" sheetId="1" state="visible" r:id="rId1"/>
    <sheet xmlns:r="http://schemas.openxmlformats.org/officeDocument/2006/relationships" name="Tableau de bord" sheetId="2" state="visible" r:id="rId2"/>
    <sheet xmlns:r="http://schemas.openxmlformats.org/officeDocument/2006/relationships" name="Rè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b val="1"/>
      <color rgb="001E3A8A"/>
      <sz val="10"/>
    </font>
    <font>
      <i val="1"/>
      <color rgb="0064748B"/>
    </font>
    <font>
      <name val="Calibri"/>
      <b val="1"/>
      <color rgb="00FFFFFF"/>
      <sz val="11"/>
    </font>
    <font>
      <name val="Calibri"/>
      <b val="1"/>
      <color rgb="001E3A8A"/>
      <sz val="12"/>
    </font>
    <font>
      <name val="Calibri"/>
      <color rgb="000F172A"/>
      <sz val="10"/>
    </font>
    <font>
      <b val="1"/>
      <color rgb="001E3A8A"/>
      <sz val="16"/>
    </font>
    <font>
      <b val="1"/>
      <color rgb="0064748B"/>
      <sz val="11"/>
    </font>
    <font>
      <b val="1"/>
      <color rgb="001E3A8A"/>
      <sz val="14"/>
    </font>
    <font>
      <b val="1"/>
      <color rgb="001E3A8A"/>
      <sz val="12"/>
    </font>
    <font>
      <color rgb="0064748B"/>
      <sz val="10"/>
    </font>
    <font>
      <b val="1"/>
      <sz val="11"/>
    </font>
    <font>
      <b val="1"/>
      <color rgb="00FFFFFF"/>
      <sz val="10"/>
    </font>
    <font>
      <sz val="10"/>
    </font>
    <font>
      <b val="1"/>
      <color rgb="000F172A"/>
      <sz val="11"/>
    </font>
    <font>
      <color rgb="001E3A8A"/>
      <sz val="11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1E3A8A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medium">
        <color rgb="001E3A8A"/>
      </bottom>
    </border>
    <border>
      <bottom style="thin">
        <color rgb="00E2E8F0"/>
      </bottom>
    </border>
    <border>
      <top style="medium">
        <color rgb="001E3A8A"/>
      </top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/>
    </xf>
    <xf numFmtId="10" fontId="4" fillId="3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6" fillId="4" borderId="0" applyAlignment="1" pivotButton="0" quotePrefix="0" xfId="0">
      <alignment horizontal="right" vertical="center"/>
    </xf>
    <xf numFmtId="0" fontId="0" fillId="4" borderId="3" pivotButton="0" quotePrefix="0" xfId="0"/>
    <xf numFmtId="3" fontId="6" fillId="4" borderId="3" applyAlignment="1" pivotButton="0" quotePrefix="0" xfId="0">
      <alignment horizontal="center" vertical="center"/>
    </xf>
    <xf numFmtId="10" fontId="6" fillId="4" borderId="3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center"/>
    </xf>
    <xf numFmtId="3" fontId="11" fillId="0" borderId="0" applyAlignment="1" pivotButton="0" quotePrefix="0" xfId="0">
      <alignment horizontal="right" vertical="center"/>
    </xf>
    <xf numFmtId="10" fontId="11" fillId="0" borderId="0" applyAlignment="1" pivotButton="0" quotePrefix="0" xfId="0">
      <alignment horizontal="right" vertic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0" fontId="17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22" customWidth="1" min="4" max="4"/>
    <col width="20" customWidth="1" min="5" max="5"/>
    <col width="20" customWidth="1" min="6" max="6"/>
    <col width="10" customWidth="1" min="7" max="7"/>
    <col width="12" customWidth="1" min="8" max="8"/>
    <col width="22" customWidth="1" min="9" max="9"/>
    <col width="26" customWidth="1" min="10" max="10"/>
  </cols>
  <sheetData>
    <row r="1" ht="28" customHeight="1">
      <c r="A1" s="1" t="inlineStr">
        <is>
          <t>TamCar SARL — Registre des actionnaires</t>
        </is>
      </c>
    </row>
    <row r="2" ht="18" customHeight="1">
      <c r="A2" s="2" t="inlineStr">
        <is>
          <t>Valeur nominale part : 10 000 FCFA · IP fondateur : 20 000 000 FCFA · Min concessionnaire : 500 000 F · Min investisseur : 1 000 000 F</t>
        </is>
      </c>
    </row>
    <row r="3" ht="8" customHeight="1"/>
    <row r="4" ht="36" customHeight="1">
      <c r="A4" s="3" t="inlineStr">
        <is>
          <t>Nom complet</t>
        </is>
      </c>
      <c r="B4" s="3" t="inlineStr">
        <is>
          <t>Type</t>
        </is>
      </c>
      <c r="C4" s="3" t="inlineStr">
        <is>
          <t>Statut</t>
        </is>
      </c>
      <c r="D4" s="3" t="inlineStr">
        <is>
          <t>Véhicule apporté</t>
        </is>
      </c>
      <c r="E4" s="3" t="inlineStr">
        <is>
          <t>Valeur véhicule (indic.) F</t>
        </is>
      </c>
      <c r="F4" s="3" t="inlineStr">
        <is>
          <t>Cash au capital (F)</t>
        </is>
      </c>
      <c r="G4" s="3" t="inlineStr">
        <is>
          <t>Parts</t>
        </is>
      </c>
      <c r="H4" s="3" t="inlineStr">
        <is>
          <t>% capital</t>
        </is>
      </c>
      <c r="I4" s="3" t="inlineStr">
        <is>
          <t>ADR versé (100k × véh.)</t>
        </is>
      </c>
      <c r="J4" s="3" t="inlineStr">
        <is>
          <t>Téléphone / Email</t>
        </is>
      </c>
    </row>
    <row r="5">
      <c r="A5" s="4" t="inlineStr">
        <is>
          <t>Terence Beni Raphaël QUENUM</t>
        </is>
      </c>
      <c r="B5" s="5" t="inlineStr">
        <is>
          <t>Fondateur (IP)</t>
        </is>
      </c>
      <c r="C5" s="5" t="inlineStr">
        <is>
          <t>Confirmé</t>
        </is>
      </c>
      <c r="D5" s="4" t="inlineStr">
        <is>
          <t>—</t>
        </is>
      </c>
      <c r="E5" s="5" t="inlineStr">
        <is>
          <t>—</t>
        </is>
      </c>
      <c r="F5" s="5" t="n">
        <v>20000000</v>
      </c>
      <c r="G5" s="6">
        <f>F5/10000</f>
        <v/>
      </c>
      <c r="H5" s="7">
        <f>IFERROR(G5/G$26,"")</f>
        <v/>
      </c>
      <c r="I5" s="5" t="inlineStr">
        <is>
          <t>—</t>
        </is>
      </c>
      <c r="J5" s="4" t="inlineStr">
        <is>
          <t>terencebeniraphael@gmail.com</t>
        </is>
      </c>
    </row>
    <row r="6" ht="18" customHeight="1">
      <c r="A6" s="8" t="inlineStr">
        <is>
          <t>Ex : Jean K.</t>
        </is>
      </c>
      <c r="B6" s="9" t="inlineStr">
        <is>
          <t>Concessionnaire</t>
        </is>
      </c>
      <c r="C6" s="9" t="inlineStr">
        <is>
          <t>Prospect</t>
        </is>
      </c>
      <c r="D6" s="8" t="inlineStr">
        <is>
          <t>Essentiel (Toyota Yaris)</t>
        </is>
      </c>
      <c r="E6" s="10" t="n">
        <v>3000000</v>
      </c>
      <c r="F6" s="10" t="n">
        <v>500000</v>
      </c>
      <c r="G6" s="11">
        <f>IF(ISNUMBER(F6),F6/10000,"")</f>
        <v/>
      </c>
      <c r="H6" s="12">
        <f>IFERROR(G6/G$26,"")</f>
        <v/>
      </c>
      <c r="I6" s="10" t="n">
        <v>100000</v>
      </c>
      <c r="J6" s="8" t="inlineStr">
        <is>
          <t>+229 61 XX XX XX</t>
        </is>
      </c>
    </row>
    <row r="7" ht="18" customHeight="1">
      <c r="A7" s="8" t="inlineStr">
        <is>
          <t>Ex : Marie A.</t>
        </is>
      </c>
      <c r="B7" s="9" t="inlineStr">
        <is>
          <t>Concessionnaire</t>
        </is>
      </c>
      <c r="C7" s="9" t="inlineStr">
        <is>
          <t>LOI signé</t>
        </is>
      </c>
      <c r="D7" s="8" t="inlineStr">
        <is>
          <t>Confort (Corolla)</t>
        </is>
      </c>
      <c r="E7" s="10" t="n">
        <v>4500000</v>
      </c>
      <c r="F7" s="10" t="n">
        <v>800000</v>
      </c>
      <c r="G7" s="11">
        <f>IF(ISNUMBER(F7),F7/10000,"")</f>
        <v/>
      </c>
      <c r="H7" s="12">
        <f>IFERROR(G7/G$26,"")</f>
        <v/>
      </c>
      <c r="I7" s="10" t="n">
        <v>100000</v>
      </c>
      <c r="J7" s="8" t="inlineStr">
        <is>
          <t>+229 62 XX XX XX</t>
        </is>
      </c>
    </row>
    <row r="8" ht="18" customHeight="1">
      <c r="A8" s="8" t="inlineStr">
        <is>
          <t>Ex : Paul D.</t>
        </is>
      </c>
      <c r="B8" s="9" t="inlineStr">
        <is>
          <t>Investisseur</t>
        </is>
      </c>
      <c r="C8" s="9" t="inlineStr">
        <is>
          <t>Cash versé</t>
        </is>
      </c>
      <c r="D8" s="8" t="inlineStr">
        <is>
          <t>—</t>
        </is>
      </c>
      <c r="E8" s="11" t="n"/>
      <c r="F8" s="10" t="n">
        <v>3000000</v>
      </c>
      <c r="G8" s="11">
        <f>IF(ISNUMBER(F8),F8/10000,"")</f>
        <v/>
      </c>
      <c r="H8" s="12">
        <f>IFERROR(G8/G$26,"")</f>
        <v/>
      </c>
      <c r="I8" s="11" t="n"/>
      <c r="J8" s="8" t="inlineStr">
        <is>
          <t>+229 65 XX XX XX</t>
        </is>
      </c>
    </row>
    <row r="9" ht="18" customHeight="1">
      <c r="A9" s="8" t="inlineStr">
        <is>
          <t>Ex : Cousin</t>
        </is>
      </c>
      <c r="B9" s="9" t="inlineStr">
        <is>
          <t>Investisseur</t>
        </is>
      </c>
      <c r="C9" s="9" t="inlineStr">
        <is>
          <t>Prospect</t>
        </is>
      </c>
      <c r="D9" s="8" t="inlineStr">
        <is>
          <t>—</t>
        </is>
      </c>
      <c r="E9" s="11" t="n"/>
      <c r="F9" s="10" t="n">
        <v>1500000</v>
      </c>
      <c r="G9" s="11">
        <f>IF(ISNUMBER(F9),F9/10000,"")</f>
        <v/>
      </c>
      <c r="H9" s="12">
        <f>IFERROR(G9/G$26,"")</f>
        <v/>
      </c>
      <c r="I9" s="11" t="n"/>
      <c r="J9" s="8" t="inlineStr"/>
    </row>
    <row r="10" ht="18" customHeight="1">
      <c r="A10" s="13" t="n"/>
      <c r="B10" s="14" t="n"/>
      <c r="C10" s="14" t="n"/>
      <c r="D10" s="13" t="n"/>
      <c r="E10" s="11" t="n"/>
      <c r="F10" s="11" t="n"/>
      <c r="G10" s="11">
        <f>IF(ISNUMBER(F10),F10/10000,"")</f>
        <v/>
      </c>
      <c r="H10" s="12">
        <f>IFERROR(G10/G$26,"")</f>
        <v/>
      </c>
      <c r="I10" s="11" t="n"/>
      <c r="J10" s="13" t="n"/>
    </row>
    <row r="11" ht="18" customHeight="1">
      <c r="A11" s="13" t="n"/>
      <c r="B11" s="14" t="n"/>
      <c r="C11" s="14" t="n"/>
      <c r="D11" s="13" t="n"/>
      <c r="E11" s="11" t="n"/>
      <c r="F11" s="11" t="n"/>
      <c r="G11" s="11">
        <f>IF(ISNUMBER(F11),F11/10000,"")</f>
        <v/>
      </c>
      <c r="H11" s="12">
        <f>IFERROR(G11/G$26,"")</f>
        <v/>
      </c>
      <c r="I11" s="11" t="n"/>
      <c r="J11" s="13" t="n"/>
    </row>
    <row r="12" ht="18" customHeight="1">
      <c r="A12" s="13" t="n"/>
      <c r="B12" s="14" t="n"/>
      <c r="C12" s="14" t="n"/>
      <c r="D12" s="13" t="n"/>
      <c r="E12" s="11" t="n"/>
      <c r="F12" s="11" t="n"/>
      <c r="G12" s="11">
        <f>IF(ISNUMBER(F12),F12/10000,"")</f>
        <v/>
      </c>
      <c r="H12" s="12">
        <f>IFERROR(G12/G$26,"")</f>
        <v/>
      </c>
      <c r="I12" s="11" t="n"/>
      <c r="J12" s="13" t="n"/>
    </row>
    <row r="13" ht="18" customHeight="1">
      <c r="A13" s="13" t="n"/>
      <c r="B13" s="14" t="n"/>
      <c r="C13" s="14" t="n"/>
      <c r="D13" s="13" t="n"/>
      <c r="E13" s="11" t="n"/>
      <c r="F13" s="11" t="n"/>
      <c r="G13" s="11">
        <f>IF(ISNUMBER(F13),F13/10000,"")</f>
        <v/>
      </c>
      <c r="H13" s="12">
        <f>IFERROR(G13/G$26,"")</f>
        <v/>
      </c>
      <c r="I13" s="11" t="n"/>
      <c r="J13" s="13" t="n"/>
    </row>
    <row r="14" ht="18" customHeight="1">
      <c r="A14" s="13" t="n"/>
      <c r="B14" s="14" t="n"/>
      <c r="C14" s="14" t="n"/>
      <c r="D14" s="13" t="n"/>
      <c r="E14" s="11" t="n"/>
      <c r="F14" s="11" t="n"/>
      <c r="G14" s="11">
        <f>IF(ISNUMBER(F14),F14/10000,"")</f>
        <v/>
      </c>
      <c r="H14" s="12">
        <f>IFERROR(G14/G$26,"")</f>
        <v/>
      </c>
      <c r="I14" s="11" t="n"/>
      <c r="J14" s="13" t="n"/>
    </row>
    <row r="15" ht="18" customHeight="1">
      <c r="A15" s="13" t="n"/>
      <c r="B15" s="14" t="n"/>
      <c r="C15" s="14" t="n"/>
      <c r="D15" s="13" t="n"/>
      <c r="E15" s="11" t="n"/>
      <c r="F15" s="11" t="n"/>
      <c r="G15" s="11">
        <f>IF(ISNUMBER(F15),F15/10000,"")</f>
        <v/>
      </c>
      <c r="H15" s="12">
        <f>IFERROR(G15/G$26,"")</f>
        <v/>
      </c>
      <c r="I15" s="11" t="n"/>
      <c r="J15" s="13" t="n"/>
    </row>
    <row r="16" ht="18" customHeight="1">
      <c r="A16" s="13" t="n"/>
      <c r="B16" s="14" t="n"/>
      <c r="C16" s="14" t="n"/>
      <c r="D16" s="13" t="n"/>
      <c r="E16" s="11" t="n"/>
      <c r="F16" s="11" t="n"/>
      <c r="G16" s="11">
        <f>IF(ISNUMBER(F16),F16/10000,"")</f>
        <v/>
      </c>
      <c r="H16" s="12">
        <f>IFERROR(G16/G$26,"")</f>
        <v/>
      </c>
      <c r="I16" s="11" t="n"/>
      <c r="J16" s="13" t="n"/>
    </row>
    <row r="17" ht="18" customHeight="1">
      <c r="A17" s="13" t="n"/>
      <c r="B17" s="14" t="n"/>
      <c r="C17" s="14" t="n"/>
      <c r="D17" s="13" t="n"/>
      <c r="E17" s="11" t="n"/>
      <c r="F17" s="11" t="n"/>
      <c r="G17" s="11">
        <f>IF(ISNUMBER(F17),F17/10000,"")</f>
        <v/>
      </c>
      <c r="H17" s="12">
        <f>IFERROR(G17/G$26,"")</f>
        <v/>
      </c>
      <c r="I17" s="11" t="n"/>
      <c r="J17" s="13" t="n"/>
    </row>
    <row r="18" ht="18" customHeight="1">
      <c r="A18" s="13" t="n"/>
      <c r="B18" s="14" t="n"/>
      <c r="C18" s="14" t="n"/>
      <c r="D18" s="13" t="n"/>
      <c r="E18" s="11" t="n"/>
      <c r="F18" s="11" t="n"/>
      <c r="G18" s="11">
        <f>IF(ISNUMBER(F18),F18/10000,"")</f>
        <v/>
      </c>
      <c r="H18" s="12">
        <f>IFERROR(G18/G$26,"")</f>
        <v/>
      </c>
      <c r="I18" s="11" t="n"/>
      <c r="J18" s="13" t="n"/>
    </row>
    <row r="19" ht="18" customHeight="1">
      <c r="A19" s="13" t="n"/>
      <c r="B19" s="14" t="n"/>
      <c r="C19" s="14" t="n"/>
      <c r="D19" s="13" t="n"/>
      <c r="E19" s="11" t="n"/>
      <c r="F19" s="11" t="n"/>
      <c r="G19" s="11">
        <f>IF(ISNUMBER(F19),F19/10000,"")</f>
        <v/>
      </c>
      <c r="H19" s="12">
        <f>IFERROR(G19/G$26,"")</f>
        <v/>
      </c>
      <c r="I19" s="11" t="n"/>
      <c r="J19" s="13" t="n"/>
    </row>
    <row r="20" ht="18" customHeight="1">
      <c r="A20" s="13" t="n"/>
      <c r="B20" s="14" t="n"/>
      <c r="C20" s="14" t="n"/>
      <c r="D20" s="13" t="n"/>
      <c r="E20" s="11" t="n"/>
      <c r="F20" s="11" t="n"/>
      <c r="G20" s="11">
        <f>IF(ISNUMBER(F20),F20/10000,"")</f>
        <v/>
      </c>
      <c r="H20" s="12">
        <f>IFERROR(G20/G$26,"")</f>
        <v/>
      </c>
      <c r="I20" s="11" t="n"/>
      <c r="J20" s="13" t="n"/>
    </row>
    <row r="21" ht="18" customHeight="1">
      <c r="A21" s="13" t="n"/>
      <c r="B21" s="14" t="n"/>
      <c r="C21" s="14" t="n"/>
      <c r="D21" s="13" t="n"/>
      <c r="E21" s="11" t="n"/>
      <c r="F21" s="11" t="n"/>
      <c r="G21" s="11">
        <f>IF(ISNUMBER(F21),F21/10000,"")</f>
        <v/>
      </c>
      <c r="H21" s="12">
        <f>IFERROR(G21/G$26,"")</f>
        <v/>
      </c>
      <c r="I21" s="11" t="n"/>
      <c r="J21" s="13" t="n"/>
    </row>
    <row r="22" ht="18" customHeight="1">
      <c r="A22" s="13" t="n"/>
      <c r="B22" s="14" t="n"/>
      <c r="C22" s="14" t="n"/>
      <c r="D22" s="13" t="n"/>
      <c r="E22" s="11" t="n"/>
      <c r="F22" s="11" t="n"/>
      <c r="G22" s="11">
        <f>IF(ISNUMBER(F22),F22/10000,"")</f>
        <v/>
      </c>
      <c r="H22" s="12">
        <f>IFERROR(G22/G$26,"")</f>
        <v/>
      </c>
      <c r="I22" s="11" t="n"/>
      <c r="J22" s="13" t="n"/>
    </row>
    <row r="23" ht="18" customHeight="1">
      <c r="A23" s="13" t="n"/>
      <c r="B23" s="14" t="n"/>
      <c r="C23" s="14" t="n"/>
      <c r="D23" s="13" t="n"/>
      <c r="E23" s="11" t="n"/>
      <c r="F23" s="11" t="n"/>
      <c r="G23" s="11">
        <f>IF(ISNUMBER(F23),F23/10000,"")</f>
        <v/>
      </c>
      <c r="H23" s="12">
        <f>IFERROR(G23/G$26,"")</f>
        <v/>
      </c>
      <c r="I23" s="11" t="n"/>
      <c r="J23" s="13" t="n"/>
    </row>
    <row r="24" ht="18" customHeight="1">
      <c r="A24" s="13" t="n"/>
      <c r="B24" s="14" t="n"/>
      <c r="C24" s="14" t="n"/>
      <c r="D24" s="13" t="n"/>
      <c r="E24" s="11" t="n"/>
      <c r="F24" s="11" t="n"/>
      <c r="G24" s="11">
        <f>IF(ISNUMBER(F24),F24/10000,"")</f>
        <v/>
      </c>
      <c r="H24" s="12">
        <f>IFERROR(G24/G$26,"")</f>
        <v/>
      </c>
      <c r="I24" s="11" t="n"/>
      <c r="J24" s="13" t="n"/>
    </row>
    <row r="25" ht="6" customHeight="1"/>
    <row r="26" ht="26" customHeight="1">
      <c r="A26" s="15" t="inlineStr">
        <is>
          <t>TOTAL</t>
        </is>
      </c>
      <c r="B26" s="16" t="n"/>
      <c r="C26" s="16" t="n"/>
      <c r="D26" s="16" t="n"/>
      <c r="E26" s="16" t="n"/>
      <c r="F26" s="17">
        <f>SUM(F5:F24)</f>
        <v/>
      </c>
      <c r="G26" s="17">
        <f>SUM(G5:G24)</f>
        <v/>
      </c>
      <c r="H26" s="18">
        <f>IFERROR(SUM(H5:H24),"")</f>
        <v/>
      </c>
      <c r="I26" s="17">
        <f>SUM(I5:I24)</f>
        <v/>
      </c>
      <c r="J26" s="16" t="n"/>
    </row>
    <row r="29">
      <c r="A29" s="19" t="inlineStr">
        <is>
          <t>Mode d'emploi</t>
        </is>
      </c>
    </row>
    <row r="30">
      <c r="A30" s="20" t="inlineStr">
        <is>
          <t>1. La ligne 5 (fondateur) est fixe : ne pas modifier — apport IP 20 M FCFA = 2 000 parts.</t>
        </is>
      </c>
    </row>
    <row r="31">
      <c r="A31" s="20" t="inlineStr">
        <is>
          <t>2. Pour ajouter un souscripteur : va sur une ligne vide (6-24), remplis Nom, Type, Statut, Véhicule (si concessionnaire), Cash au capital, ADR, Contact.</t>
        </is>
      </c>
    </row>
    <row r="32">
      <c r="A32" s="20" t="inlineStr">
        <is>
          <t>3. Les colonnes 'Parts' et '% capital' se calculent automatiquement — ne pas les modifier.</t>
        </is>
      </c>
    </row>
    <row r="33">
      <c r="A33" s="20" t="inlineStr">
        <is>
          <t>4. Statut : Prospect → LOI signé → Cash versé → Confirmé.</t>
        </is>
      </c>
    </row>
    <row r="34">
      <c r="A34" s="20" t="inlineStr">
        <is>
          <t>5. Type : Concessionnaire (véhicule + min 500 k) OU Investisseur (cash pur min 1 M).</t>
        </is>
      </c>
    </row>
    <row r="35">
      <c r="A35" s="20" t="inlineStr">
        <is>
          <t>6. La valeur du véhicule est indicative — elle ne rentre PAS dans le capital (le véhicule reste ta propriété, exploité par TamCar via contrat).</t>
        </is>
      </c>
    </row>
    <row r="36">
      <c r="A36" s="20" t="inlineStr">
        <is>
          <t>7. ADR = 100 000 F par véhicule apporté, en compte courant associé (remboursable via revenus courses).</t>
        </is>
      </c>
    </row>
  </sheetData>
  <mergeCells count="10">
    <mergeCell ref="A32:J32"/>
    <mergeCell ref="A2:I2"/>
    <mergeCell ref="A31:J31"/>
    <mergeCell ref="A36:J36"/>
    <mergeCell ref="A30:J30"/>
    <mergeCell ref="A1:I1"/>
    <mergeCell ref="A34:J34"/>
    <mergeCell ref="A29:J29"/>
    <mergeCell ref="A35:J35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18" customWidth="1" min="4" max="4"/>
  </cols>
  <sheetData>
    <row r="1" ht="28" customHeight="1">
      <c r="A1" s="21" t="inlineStr">
        <is>
          <t>TamCar SARL — Suivi levée capital</t>
        </is>
      </c>
    </row>
    <row r="3" ht="24" customHeight="1">
      <c r="A3" s="22" t="inlineStr">
        <is>
          <t>Capital total (FCFA)</t>
        </is>
      </c>
      <c r="B3" s="23">
        <f>'Actionnaires'!F26+20000000</f>
        <v/>
      </c>
    </row>
    <row r="4" ht="24" customHeight="1">
      <c r="A4" s="22" t="inlineStr">
        <is>
          <t>dont IP fondateur</t>
        </is>
      </c>
      <c r="B4" s="23">
        <f>20000000</f>
        <v/>
      </c>
    </row>
    <row r="5" ht="24" customHeight="1">
      <c r="A5" s="22" t="inlineStr">
        <is>
          <t>dont cash levé</t>
        </is>
      </c>
      <c r="B5" s="23">
        <f>'Actionnaires'!F26-20000000</f>
        <v/>
      </c>
    </row>
    <row r="6" ht="24" customHeight="1">
      <c r="A6" s="22" t="inlineStr">
        <is>
          <t>Nombre total de parts</t>
        </is>
      </c>
      <c r="B6" s="23">
        <f>'Actionnaires'!G26</f>
        <v/>
      </c>
    </row>
    <row r="7" ht="24" customHeight="1">
      <c r="A7" s="22" t="inlineStr">
        <is>
          <t>% Terence (fondateur)</t>
        </is>
      </c>
      <c r="B7" s="24">
        <f>IFERROR(2000/'Actionnaires'!G26,"")</f>
        <v/>
      </c>
    </row>
    <row r="8" ht="24" customHeight="1">
      <c r="A8" s="22" t="inlineStr">
        <is>
          <t>Nombre d'actionnaires actifs</t>
        </is>
      </c>
      <c r="B8" s="23">
        <f>COUNTIF('Actionnaires'!C6:C24,"Cash versé")+COUNTIF('Actionnaires'!C6:C24,"Confirmé")+1</f>
        <v/>
      </c>
    </row>
    <row r="9" ht="24" customHeight="1">
      <c r="A9" s="22" t="inlineStr">
        <is>
          <t>ADR total (compte courant)</t>
        </is>
      </c>
      <c r="B9" s="23">
        <f>'Actionnaires'!I26</f>
        <v/>
      </c>
    </row>
    <row r="12">
      <c r="A12" s="25" t="inlineStr">
        <is>
          <t>Alertes contrôle Terence</t>
        </is>
      </c>
    </row>
    <row r="13" ht="22" customHeight="1">
      <c r="A13" s="26" t="inlineStr">
        <is>
          <t>&gt;= 51 % : contrôle absolu (majorité simple)</t>
        </is>
      </c>
      <c r="B13" s="27">
        <f>IF(IFERROR(2000/'Actionnaires'!G26,0)&gt;=0.51,"OK — majorité absolue conservée","ATTENTION — Terence n'a plus la majorité")</f>
        <v/>
      </c>
    </row>
    <row r="14" ht="22" customHeight="1">
      <c r="A14" s="26" t="inlineStr">
        <is>
          <t>&gt;= 60 % : super-marge de sécurité</t>
        </is>
      </c>
      <c r="B14" s="27">
        <f>IF(IFERROR(2000/'Actionnaires'!G26,0)&gt;=0.60,"OK — position confortable","Zone modérée — vérifie tes objectifs")</f>
        <v/>
      </c>
    </row>
    <row r="15" ht="22" customHeight="1">
      <c r="A15" s="26" t="inlineStr">
        <is>
          <t>&gt;= 67 % : super-majorité pour décisions extraordinaires</t>
        </is>
      </c>
      <c r="B15" s="27">
        <f>IF(IFERROR(2000/'Actionnaires'!G26,0)&gt;=0.6667,"OK — décisions extraordinaires libres","Attention — tu dépends de tiers pour décisions extraordinaires")</f>
        <v/>
      </c>
    </row>
    <row r="18">
      <c r="A18" s="25" t="inlineStr">
        <is>
          <t>Répartition par catégorie</t>
        </is>
      </c>
    </row>
    <row r="19">
      <c r="A19" s="28" t="inlineStr">
        <is>
          <t>Catégorie</t>
        </is>
      </c>
      <c r="B19" s="28" t="inlineStr">
        <is>
          <t>Nb associés</t>
        </is>
      </c>
      <c r="C19" s="28" t="inlineStr">
        <is>
          <t>Cash apporté (F)</t>
        </is>
      </c>
      <c r="D19" s="28" t="inlineStr">
        <is>
          <t>% capital</t>
        </is>
      </c>
    </row>
    <row r="20">
      <c r="A20" s="29" t="inlineStr">
        <is>
          <t>Fondateur (IP)</t>
        </is>
      </c>
      <c r="B20" s="30">
        <f>1</f>
        <v/>
      </c>
      <c r="C20" s="30">
        <f>20000000</f>
        <v/>
      </c>
      <c r="D20" s="31">
        <f>IFERROR(2000/'Actionnaires'!G26,0)</f>
        <v/>
      </c>
    </row>
    <row r="21">
      <c r="A21" s="29" t="inlineStr">
        <is>
          <t>Concessionnaires</t>
        </is>
      </c>
      <c r="B21" s="30">
        <f>COUNTIF('Actionnaires'!B6:B24,"Concessionnaire")</f>
        <v/>
      </c>
      <c r="C21" s="30">
        <f>SUMIF('Actionnaires'!B6:B24,"Concessionnaire",'Actionnaires'!F6:F24)</f>
        <v/>
      </c>
      <c r="D21" s="31">
        <f>IFERROR(SUMIF('Actionnaires'!B6:B24,"Concessionnaire",'Actionnaires'!G6:G24)/'Actionnaires'!G26,0)</f>
        <v/>
      </c>
    </row>
    <row r="22">
      <c r="A22" s="29" t="inlineStr">
        <is>
          <t>Investisseurs</t>
        </is>
      </c>
      <c r="B22" s="30">
        <f>COUNTIF('Actionnaires'!B6:B24,"Investisseur")</f>
        <v/>
      </c>
      <c r="C22" s="30">
        <f>SUMIF('Actionnaires'!B6:B24,"Investisseur",'Actionnaires'!F6:F24)</f>
        <v/>
      </c>
      <c r="D22" s="31">
        <f>IFERROR(SUMIF('Actionnaires'!B6:B24,"Investisseur",'Actionnaires'!G6:G24)/'Actionnaires'!G26,0)</f>
        <v/>
      </c>
    </row>
  </sheetData>
  <mergeCells count="3">
    <mergeCell ref="A1:D1"/>
    <mergeCell ref="A12:D12"/>
    <mergeCell ref="A18:D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 ht="28" customHeight="1">
      <c r="A1" s="21" t="inlineStr">
        <is>
          <t>Règles du capital TamCar SARL</t>
        </is>
      </c>
    </row>
    <row r="3" ht="24" customHeight="1">
      <c r="A3" s="32" t="inlineStr">
        <is>
          <t>Valeur nominale d'une part sociale</t>
        </is>
      </c>
      <c r="B3" s="33" t="inlineStr">
        <is>
          <t>10 000 FCFA</t>
        </is>
      </c>
    </row>
    <row r="4" ht="24" customHeight="1">
      <c r="A4" s="32" t="inlineStr">
        <is>
          <t>Apport en nature Terence (IP TamCar)</t>
        </is>
      </c>
      <c r="B4" s="33" t="inlineStr">
        <is>
          <t>20 000 000 FCFA = 2 000 parts (fixe)</t>
        </is>
      </c>
    </row>
    <row r="5" ht="24" customHeight="1">
      <c r="A5" s="32" t="inlineStr">
        <is>
          <t>Minimum souscription Concessionnaire</t>
        </is>
      </c>
      <c r="B5" s="33" t="inlineStr">
        <is>
          <t>500 000 F (50 parts) + 1 véhicule minimum</t>
        </is>
      </c>
    </row>
    <row r="6" ht="24" customHeight="1">
      <c r="A6" s="32" t="inlineStr">
        <is>
          <t>Minimum souscription Investisseur passif</t>
        </is>
      </c>
      <c r="B6" s="33" t="inlineStr">
        <is>
          <t>1 000 000 F (100 parts) — pas de véhicule requis</t>
        </is>
      </c>
    </row>
    <row r="7" ht="24" customHeight="1">
      <c r="A7" s="32" t="inlineStr">
        <is>
          <t>Plafond individuel</t>
        </is>
      </c>
      <c r="B7" s="33" t="inlineStr">
        <is>
          <t>20 % du capital (aucun associé seul ne peut dépasser)</t>
        </is>
      </c>
    </row>
    <row r="8" ht="24" customHeight="1">
      <c r="A8" s="32" t="inlineStr">
        <is>
          <t>ADR (Avance Démarrage Remboursable)</t>
        </is>
      </c>
      <c r="B8" s="33" t="inlineStr">
        <is>
          <t>100 000 F par véhicule apporté — en compte courant, hors capital</t>
        </is>
      </c>
    </row>
    <row r="9" ht="24" customHeight="1">
      <c r="A9" s="32" t="inlineStr">
        <is>
          <t>Traitement des véhicules</t>
        </is>
      </c>
      <c r="B9" s="33" t="inlineStr">
        <is>
          <t>Restent propriété du concessionnaire. Exploités par la SARL via contrat.</t>
        </is>
      </c>
    </row>
    <row r="10" ht="24" customHeight="1">
      <c r="A10" s="32" t="inlineStr">
        <is>
          <t>Contrepartie exploitation véhicule</t>
        </is>
      </c>
      <c r="B10" s="33" t="inlineStr">
        <is>
          <t>30 % du prix de chaque course (formule cession) — versé mensuellement</t>
        </is>
      </c>
    </row>
    <row r="11" ht="24" customHeight="1">
      <c r="A11" s="32" t="inlineStr">
        <is>
          <t>Split revenus course (formule cession)</t>
        </is>
      </c>
      <c r="B11" s="33" t="inlineStr">
        <is>
          <t>Chauffeur 40 % · Fonds rachat 10 % · Concessionnaire 30 % · Plateforme 20 %</t>
        </is>
      </c>
    </row>
    <row r="12" ht="24" customHeight="1">
      <c r="A12" s="32" t="inlineStr">
        <is>
          <t>Split revenus course (formule propriétaire)</t>
        </is>
      </c>
      <c r="B12" s="33" t="inlineStr">
        <is>
          <t>Chauffeur 80 % · Plateforme 20 %</t>
        </is>
      </c>
    </row>
    <row r="13" ht="24" customHeight="1">
      <c r="A13" s="32" t="inlineStr">
        <is>
          <t>Formalité obligatoire OHADA</t>
        </is>
      </c>
      <c r="B13" s="33" t="inlineStr">
        <is>
          <t>Commissaire aux apports (apport nature &gt; 5 M) — env. 300-500 k FCFA</t>
        </is>
      </c>
    </row>
    <row r="14" ht="24" customHeight="1">
      <c r="A14" s="32" t="inlineStr">
        <is>
          <t>Constitution SARL</t>
        </is>
      </c>
      <c r="B14" s="33" t="inlineStr">
        <is>
          <t>Une seule AG constitutive avec tous les associés, après phase de collecte 2-3 mois</t>
        </is>
      </c>
    </row>
    <row r="15" ht="24" customHeight="1">
      <c r="A15" s="32" t="inlineStr">
        <is>
          <t>Phase de collecte (avant constitution)</t>
        </is>
      </c>
      <c r="B15" s="33" t="inlineStr">
        <is>
          <t>Protocole d'accord + compte séquestre bancaire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2026-07-20T21:41:44Z</dcterms:created>
  <dcterms:modified xmlns:dcterms="http://purl.org/dc/terms/" xmlns:xsi="http://www.w3.org/2001/XMLSchema-instance" xsi:type="dcterms:W3CDTF">2026-07-20T21:41:44Z</dcterms:modified>
</cp:coreProperties>
</file>