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Recettes" sheetId="2" state="visible" r:id="rId2"/>
    <sheet xmlns:r="http://schemas.openxmlformats.org/officeDocument/2006/relationships" name="Charges" sheetId="3" state="visible" r:id="rId3"/>
    <sheet xmlns:r="http://schemas.openxmlformats.org/officeDocument/2006/relationships" name="P&amp;L 24 mois" sheetId="4" state="visible" r:id="rId4"/>
    <sheet xmlns:r="http://schemas.openxmlformats.org/officeDocument/2006/relationships" name="Investisse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3" fontId="0" fillId="3" borderId="0" pivotButton="0" quotePrefix="0" xfId="0"/>
    <xf numFmtId="3" fontId="2" fillId="0" borderId="0" pivotButton="0" quotePrefix="0" xfId="0"/>
    <xf numFmtId="3" fontId="2" fillId="4" borderId="0" pivotButton="0" quotePrefix="0" xfId="0"/>
    <xf numFmtId="3" fontId="2" fillId="5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5"/>
  <sheetViews>
    <sheetView workbookViewId="0">
      <selection activeCell="A1" sqref="A1"/>
    </sheetView>
  </sheetViews>
  <sheetFormatPr baseColWidth="8" defaultRowHeight="15"/>
  <cols>
    <col width="52" customWidth="1" min="2" max="2"/>
    <col width="16" customWidth="1" min="3" max="3"/>
    <col width="16" customWidth="1" min="4" max="4"/>
  </cols>
  <sheetData>
    <row r="1">
      <c r="B1" s="1" t="inlineStr">
        <is>
          <t>TamCar - Budget 24 mois - HYPOTHESES (v3, option B : rester a 11 M)</t>
        </is>
      </c>
    </row>
    <row r="2">
      <c r="B2" t="inlineStr">
        <is>
          <t>Discipline marketing stricte + ramp vehicules accelere. Valeurs verifiees.</t>
        </is>
      </c>
    </row>
    <row r="3">
      <c r="B3" s="2" t="inlineStr">
        <is>
          <t>A - Productivite d'un vehicule</t>
        </is>
      </c>
    </row>
    <row r="4">
      <c r="B4" t="inlineStr">
        <is>
          <t>Prix moyen d'une course</t>
        </is>
      </c>
      <c r="C4" s="3" t="n">
        <v>1500</v>
      </c>
      <c r="D4" t="inlineStr">
        <is>
          <t>Decision 2026-07</t>
        </is>
      </c>
    </row>
    <row r="5">
      <c r="B5" t="inlineStr">
        <is>
          <t>Courses / jour / vehicule</t>
        </is>
      </c>
      <c r="C5" s="4" t="n">
        <v>10</v>
      </c>
      <c r="D5" t="inlineStr">
        <is>
          <t>Voiture &amp; tricycle (moto = plus)</t>
        </is>
      </c>
    </row>
    <row r="6">
      <c r="B6" t="inlineStr">
        <is>
          <t>Jours actifs / mois</t>
        </is>
      </c>
      <c r="C6" s="4" t="n">
        <v>26</v>
      </c>
      <c r="D6" t="inlineStr">
        <is>
          <t>Semaine de 6 jours</t>
        </is>
      </c>
    </row>
    <row r="7">
      <c r="B7" t="inlineStr">
        <is>
          <t>Volume de courses / veh / mois</t>
        </is>
      </c>
      <c r="C7" s="3" t="n">
        <v>390000</v>
      </c>
      <c r="D7">
        <f> prix x courses x jours</f>
        <v/>
      </c>
    </row>
    <row r="8">
      <c r="B8" s="2" t="inlineStr">
        <is>
          <t>B - Repartition (split 40/10/30/20)</t>
        </is>
      </c>
    </row>
    <row r="9">
      <c r="B9" t="inlineStr">
        <is>
          <t>Part plateforme (directe)</t>
        </is>
      </c>
      <c r="C9" s="4" t="n">
        <v>0.2</v>
      </c>
    </row>
    <row r="10">
      <c r="B10" t="inlineStr">
        <is>
          <t>Part fonds rachat</t>
        </is>
      </c>
      <c r="C10" s="4" t="n">
        <v>0.1</v>
      </c>
    </row>
    <row r="11">
      <c r="B11" t="inlineStr">
        <is>
          <t>Part plateforme du rachat - An 1</t>
        </is>
      </c>
      <c r="C11" s="4" t="n">
        <v>0.3</v>
      </c>
      <c r="D11" t="inlineStr">
        <is>
          <t>Degressif</t>
        </is>
      </c>
    </row>
    <row r="12">
      <c r="B12" t="inlineStr">
        <is>
          <t>Part plateforme du rachat - An 2</t>
        </is>
      </c>
      <c r="C12" s="4" t="n">
        <v>0.2</v>
      </c>
      <c r="D12" t="inlineStr">
        <is>
          <t>Degressif</t>
        </is>
      </c>
    </row>
    <row r="13">
      <c r="B13" t="inlineStr">
        <is>
          <t>Assurance conducteur / veh / mois</t>
        </is>
      </c>
      <c r="C13" s="3" t="n">
        <v>500</v>
      </c>
      <c r="D13" t="inlineStr">
        <is>
          <t>Revenu TamCar</t>
        </is>
      </c>
    </row>
    <row r="14">
      <c r="B14" t="inlineStr">
        <is>
          <t>Revenu plateforme / veh / mois - An 1</t>
        </is>
      </c>
      <c r="C14" s="3" t="n">
        <v>90200</v>
      </c>
      <c r="D14" t="inlineStr">
        <is>
          <t>20% vol + 30% rachat + assurance</t>
        </is>
      </c>
    </row>
    <row r="15">
      <c r="B15" t="inlineStr">
        <is>
          <t>Revenu plateforme / veh / mois - An 2</t>
        </is>
      </c>
      <c r="C15" s="3" t="n">
        <v>86300</v>
      </c>
      <c r="D15" t="inlineStr">
        <is>
          <t>20% vol + 20% rachat + assurance</t>
        </is>
      </c>
    </row>
    <row r="16">
      <c r="B16" s="2" t="inlineStr">
        <is>
          <t>C - Responsable Operations (NOUVEAU)</t>
        </is>
      </c>
    </row>
    <row r="17">
      <c r="B17" t="inlineStr">
        <is>
          <t>Remuneration RO</t>
        </is>
      </c>
      <c r="C17" t="inlineStr">
        <is>
          <t>3% des courses terminees</t>
        </is>
      </c>
      <c r="D17" t="inlineStr">
        <is>
          <t>Plancher 150 000 F/mois</t>
        </is>
      </c>
    </row>
    <row r="18">
      <c r="B18" t="inlineStr">
        <is>
          <t>RO - cout total 24 mois</t>
        </is>
      </c>
      <c r="C18" s="3" t="n">
        <v>8441100</v>
      </c>
      <c r="D18" t="inlineStr">
        <is>
          <t>Variable, suit le volume</t>
        </is>
      </c>
    </row>
    <row r="19">
      <c r="B19" s="2" t="inlineStr">
        <is>
          <t>D - Fiscalite &amp; capital</t>
        </is>
      </c>
    </row>
    <row r="20">
      <c r="B20" t="inlineStr">
        <is>
          <t>Impot sur les societes (IS)</t>
        </is>
      </c>
      <c r="C20" s="4" t="n">
        <v>0.3</v>
      </c>
    </row>
    <row r="21">
      <c r="B21" t="inlineStr">
        <is>
          <t>Retenue IRCM sur dividendes</t>
        </is>
      </c>
      <c r="C21" s="4" t="n">
        <v>0.1</v>
      </c>
    </row>
    <row r="22">
      <c r="B22" t="inlineStr">
        <is>
          <t>Taux de distribution dividendes</t>
        </is>
      </c>
      <c r="C22" s="4" t="n">
        <v>0.4</v>
      </c>
    </row>
    <row r="23">
      <c r="B23" t="inlineStr">
        <is>
          <t>Tresorerie de depart</t>
        </is>
      </c>
      <c r="C23" s="3" t="n">
        <v>11000000</v>
      </c>
      <c r="D23" t="inlineStr">
        <is>
          <t>Levee 10 M + reliquat (option B : inchangee)</t>
        </is>
      </c>
    </row>
    <row r="24">
      <c r="B24" t="inlineStr">
        <is>
          <t>Capital social total</t>
        </is>
      </c>
      <c r="C24" s="3" t="n">
        <v>30000000</v>
      </c>
      <c r="D24" t="inlineStr">
        <is>
          <t>20 M apport IP + 10 M numeraire</t>
        </is>
      </c>
    </row>
    <row r="25">
      <c r="B25" t="inlineStr">
        <is>
          <t>Multiple de valorisation (sortie An 5)</t>
        </is>
      </c>
      <c r="C25" s="4" t="n">
        <v>5</v>
      </c>
      <c r="D25" t="inlineStr">
        <is>
          <t>x resultat net An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9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B1" s="1" t="inlineStr">
        <is>
          <t>Recettes plateforme - 24 mois</t>
        </is>
      </c>
    </row>
    <row r="2">
      <c r="B2" s="5" t="inlineStr">
        <is>
          <t>Ligne</t>
        </is>
      </c>
      <c r="C2" s="6" t="inlineStr">
        <is>
          <t>M1</t>
        </is>
      </c>
      <c r="D2" s="6" t="inlineStr">
        <is>
          <t>M2</t>
        </is>
      </c>
      <c r="E2" s="6" t="inlineStr">
        <is>
          <t>M3</t>
        </is>
      </c>
      <c r="F2" s="6" t="inlineStr">
        <is>
          <t>M4</t>
        </is>
      </c>
      <c r="G2" s="6" t="inlineStr">
        <is>
          <t>M5</t>
        </is>
      </c>
      <c r="H2" s="6" t="inlineStr">
        <is>
          <t>M6</t>
        </is>
      </c>
      <c r="I2" s="6" t="inlineStr">
        <is>
          <t>M7</t>
        </is>
      </c>
      <c r="J2" s="6" t="inlineStr">
        <is>
          <t>M8</t>
        </is>
      </c>
      <c r="K2" s="6" t="inlineStr">
        <is>
          <t>M9</t>
        </is>
      </c>
      <c r="L2" s="6" t="inlineStr">
        <is>
          <t>M10</t>
        </is>
      </c>
      <c r="M2" s="6" t="inlineStr">
        <is>
          <t>M11</t>
        </is>
      </c>
      <c r="N2" s="6" t="inlineStr">
        <is>
          <t>M12</t>
        </is>
      </c>
      <c r="O2" s="6" t="inlineStr">
        <is>
          <t>M13</t>
        </is>
      </c>
      <c r="P2" s="6" t="inlineStr">
        <is>
          <t>M14</t>
        </is>
      </c>
      <c r="Q2" s="6" t="inlineStr">
        <is>
          <t>M15</t>
        </is>
      </c>
      <c r="R2" s="6" t="inlineStr">
        <is>
          <t>M16</t>
        </is>
      </c>
      <c r="S2" s="6" t="inlineStr">
        <is>
          <t>M17</t>
        </is>
      </c>
      <c r="T2" s="6" t="inlineStr">
        <is>
          <t>M18</t>
        </is>
      </c>
      <c r="U2" s="6" t="inlineStr">
        <is>
          <t>M19</t>
        </is>
      </c>
      <c r="V2" s="6" t="inlineStr">
        <is>
          <t>M20</t>
        </is>
      </c>
      <c r="W2" s="6" t="inlineStr">
        <is>
          <t>M21</t>
        </is>
      </c>
      <c r="X2" s="6" t="inlineStr">
        <is>
          <t>M22</t>
        </is>
      </c>
      <c r="Y2" s="6" t="inlineStr">
        <is>
          <t>M23</t>
        </is>
      </c>
      <c r="Z2" s="6" t="inlineStr">
        <is>
          <t>M24</t>
        </is>
      </c>
    </row>
    <row r="3">
      <c r="B3" s="2" t="inlineStr">
        <is>
          <t>Vehicules actifs (INPUT bleu)</t>
        </is>
      </c>
      <c r="C3" s="7" t="n">
        <v>0</v>
      </c>
      <c r="D3" s="7" t="n">
        <v>4</v>
      </c>
      <c r="E3" s="7" t="n">
        <v>8</v>
      </c>
      <c r="F3" s="7" t="n">
        <v>12</v>
      </c>
      <c r="G3" s="7" t="n">
        <v>16</v>
      </c>
      <c r="H3" s="7" t="n">
        <v>20</v>
      </c>
      <c r="I3" s="7" t="n">
        <v>23</v>
      </c>
      <c r="J3" s="7" t="n">
        <v>26</v>
      </c>
      <c r="K3" s="7" t="n">
        <v>28</v>
      </c>
      <c r="L3" s="7" t="n">
        <v>30</v>
      </c>
      <c r="M3" s="7" t="n">
        <v>32</v>
      </c>
      <c r="N3" s="7" t="n">
        <v>34</v>
      </c>
      <c r="O3" s="7" t="n">
        <v>36</v>
      </c>
      <c r="P3" s="7" t="n">
        <v>38</v>
      </c>
      <c r="Q3" s="7" t="n">
        <v>40</v>
      </c>
      <c r="R3" s="7" t="n">
        <v>40</v>
      </c>
      <c r="S3" s="7" t="n">
        <v>40</v>
      </c>
      <c r="T3" s="7" t="n">
        <v>40</v>
      </c>
      <c r="U3" s="7" t="n">
        <v>40</v>
      </c>
      <c r="V3" s="7" t="n">
        <v>40</v>
      </c>
      <c r="W3" s="7" t="n">
        <v>40</v>
      </c>
      <c r="X3" s="7" t="n">
        <v>40</v>
      </c>
      <c r="Y3" s="7" t="n">
        <v>40</v>
      </c>
      <c r="Z3" s="7" t="n">
        <v>40</v>
      </c>
    </row>
    <row r="4">
      <c r="B4" t="inlineStr">
        <is>
          <t>Revenu / veh / mois</t>
        </is>
      </c>
      <c r="C4" s="3" t="n">
        <v>90200</v>
      </c>
      <c r="D4" s="3" t="n">
        <v>90200</v>
      </c>
      <c r="E4" s="3" t="n">
        <v>90200</v>
      </c>
      <c r="F4" s="3" t="n">
        <v>90200</v>
      </c>
      <c r="G4" s="3" t="n">
        <v>90200</v>
      </c>
      <c r="H4" s="3" t="n">
        <v>90200</v>
      </c>
      <c r="I4" s="3" t="n">
        <v>90200</v>
      </c>
      <c r="J4" s="3" t="n">
        <v>90200</v>
      </c>
      <c r="K4" s="3" t="n">
        <v>90200</v>
      </c>
      <c r="L4" s="3" t="n">
        <v>90200</v>
      </c>
      <c r="M4" s="3" t="n">
        <v>90200</v>
      </c>
      <c r="N4" s="3" t="n">
        <v>90200</v>
      </c>
      <c r="O4" s="3" t="n">
        <v>86300</v>
      </c>
      <c r="P4" s="3" t="n">
        <v>86300</v>
      </c>
      <c r="Q4" s="3" t="n">
        <v>86300</v>
      </c>
      <c r="R4" s="3" t="n">
        <v>86300</v>
      </c>
      <c r="S4" s="3" t="n">
        <v>86300</v>
      </c>
      <c r="T4" s="3" t="n">
        <v>86300</v>
      </c>
      <c r="U4" s="3" t="n">
        <v>86300</v>
      </c>
      <c r="V4" s="3" t="n">
        <v>86300</v>
      </c>
      <c r="W4" s="3" t="n">
        <v>86300</v>
      </c>
      <c r="X4" s="3" t="n">
        <v>86300</v>
      </c>
      <c r="Y4" s="3" t="n">
        <v>86300</v>
      </c>
      <c r="Z4" s="3" t="n">
        <v>86300</v>
      </c>
    </row>
    <row r="5">
      <c r="B5" s="5" t="inlineStr">
        <is>
          <t>RECETTES PLATEFORME</t>
        </is>
      </c>
      <c r="C5" s="8" t="n">
        <v>0</v>
      </c>
      <c r="D5" s="8" t="n">
        <v>360800</v>
      </c>
      <c r="E5" s="8" t="n">
        <v>721600</v>
      </c>
      <c r="F5" s="8" t="n">
        <v>1082400</v>
      </c>
      <c r="G5" s="8" t="n">
        <v>1443200</v>
      </c>
      <c r="H5" s="8" t="n">
        <v>1804000</v>
      </c>
      <c r="I5" s="8" t="n">
        <v>2074600</v>
      </c>
      <c r="J5" s="8" t="n">
        <v>2345200</v>
      </c>
      <c r="K5" s="8" t="n">
        <v>2525600</v>
      </c>
      <c r="L5" s="8" t="n">
        <v>2706000</v>
      </c>
      <c r="M5" s="8" t="n">
        <v>2886400</v>
      </c>
      <c r="N5" s="8" t="n">
        <v>3066800</v>
      </c>
      <c r="O5" s="8" t="n">
        <v>3106800</v>
      </c>
      <c r="P5" s="8" t="n">
        <v>3279400</v>
      </c>
      <c r="Q5" s="8" t="n">
        <v>3452000</v>
      </c>
      <c r="R5" s="8" t="n">
        <v>3452000</v>
      </c>
      <c r="S5" s="8" t="n">
        <v>3452000</v>
      </c>
      <c r="T5" s="8" t="n">
        <v>3452000</v>
      </c>
      <c r="U5" s="8" t="n">
        <v>3452000</v>
      </c>
      <c r="V5" s="8" t="n">
        <v>3452000</v>
      </c>
      <c r="W5" s="8" t="n">
        <v>3452000</v>
      </c>
      <c r="X5" s="8" t="n">
        <v>3452000</v>
      </c>
      <c r="Y5" s="8" t="n">
        <v>3452000</v>
      </c>
      <c r="Z5" s="8" t="n">
        <v>3452000</v>
      </c>
    </row>
    <row r="7">
      <c r="B7" t="inlineStr">
        <is>
          <t>Total An 1 (M1-M12)</t>
        </is>
      </c>
      <c r="C7" s="9" t="n">
        <v>21016600</v>
      </c>
    </row>
    <row r="8">
      <c r="B8" t="inlineStr">
        <is>
          <t>Total An 2 (M13-M24)</t>
        </is>
      </c>
      <c r="C8" s="9" t="n">
        <v>40906200</v>
      </c>
    </row>
    <row r="9">
      <c r="B9" t="inlineStr">
        <is>
          <t>Total 24 mois</t>
        </is>
      </c>
      <c r="C9" s="9" t="n">
        <v>61922800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37"/>
  <sheetViews>
    <sheetView workbookViewId="0">
      <selection activeCell="A1" sqref="A1"/>
    </sheetView>
  </sheetViews>
  <sheetFormatPr baseColWidth="8" defaultRowHeight="15"/>
  <cols>
    <col width="5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B1" s="1" t="inlineStr">
        <is>
          <t>Charges - CAPEX + OPEX (v3 disciplinee)</t>
        </is>
      </c>
    </row>
    <row r="2">
      <c r="B2" s="5" t="inlineStr">
        <is>
          <t>CAPEX de demarrage (M1)</t>
        </is>
      </c>
    </row>
    <row r="3">
      <c r="B3" t="inlineStr">
        <is>
          <t>Formalisation societe (statuts+RCCM+IFU+annonce+valo App)</t>
        </is>
      </c>
      <c r="C3" s="3" t="n">
        <v>1500000</v>
      </c>
    </row>
    <row r="4">
      <c r="B4" t="inlineStr">
        <is>
          <t>ANATT - 1re autorisation + attestations + acomptes</t>
        </is>
      </c>
      <c r="C4" s="3" t="n">
        <v>666000</v>
      </c>
    </row>
    <row r="5">
      <c r="B5" t="inlineStr">
        <is>
          <t>Honoraires juriste OHADA (contrats)</t>
        </is>
      </c>
      <c r="C5" s="3" t="n">
        <v>300000</v>
      </c>
    </row>
    <row r="6">
      <c r="B6" t="inlineStr">
        <is>
          <t>Bureau - caution + amenagement</t>
        </is>
      </c>
      <c r="C6" s="3" t="n">
        <v>700000</v>
      </c>
    </row>
    <row r="7">
      <c r="B7" t="inlineStr">
        <is>
          <t>Materiel informatique + mobilier</t>
        </is>
      </c>
      <c r="C7" s="3" t="n">
        <v>1500000</v>
      </c>
    </row>
    <row r="8">
      <c r="B8" t="inlineStr">
        <is>
          <t>Marketing lancement (evenement, photo, video) [DISCIPLINE 1,0M]</t>
        </is>
      </c>
      <c r="C8" s="3" t="n">
        <v>1000000</v>
      </c>
    </row>
    <row r="9">
      <c r="B9" t="inlineStr">
        <is>
          <t>Habillage 10 vehicules + inspections + kits</t>
        </is>
      </c>
      <c r="C9" s="3" t="n">
        <v>460000</v>
      </c>
    </row>
    <row r="10">
      <c r="B10" t="inlineStr">
        <is>
          <t>Charte visuelle + print + domaine/email</t>
        </is>
      </c>
      <c r="C10" s="3" t="n">
        <v>350000</v>
      </c>
    </row>
    <row r="11">
      <c r="B11" s="5" t="inlineStr">
        <is>
          <t>TOTAL CAPEX</t>
        </is>
      </c>
      <c r="C11" s="10" t="n">
        <v>6476000</v>
      </c>
    </row>
    <row r="13">
      <c r="B13" s="5" t="inlineStr">
        <is>
          <t>OPEX mensuel</t>
        </is>
      </c>
      <c r="C13" s="6" t="inlineStr">
        <is>
          <t>M1</t>
        </is>
      </c>
      <c r="D13" s="6" t="inlineStr">
        <is>
          <t>M2</t>
        </is>
      </c>
      <c r="E13" s="6" t="inlineStr">
        <is>
          <t>M3</t>
        </is>
      </c>
      <c r="F13" s="6" t="inlineStr">
        <is>
          <t>M4</t>
        </is>
      </c>
      <c r="G13" s="6" t="inlineStr">
        <is>
          <t>M5</t>
        </is>
      </c>
      <c r="H13" s="6" t="inlineStr">
        <is>
          <t>M6</t>
        </is>
      </c>
      <c r="I13" s="6" t="inlineStr">
        <is>
          <t>M7</t>
        </is>
      </c>
      <c r="J13" s="6" t="inlineStr">
        <is>
          <t>M8</t>
        </is>
      </c>
      <c r="K13" s="6" t="inlineStr">
        <is>
          <t>M9</t>
        </is>
      </c>
      <c r="L13" s="6" t="inlineStr">
        <is>
          <t>M10</t>
        </is>
      </c>
      <c r="M13" s="6" t="inlineStr">
        <is>
          <t>M11</t>
        </is>
      </c>
      <c r="N13" s="6" t="inlineStr">
        <is>
          <t>M12</t>
        </is>
      </c>
      <c r="O13" s="6" t="inlineStr">
        <is>
          <t>M13</t>
        </is>
      </c>
      <c r="P13" s="6" t="inlineStr">
        <is>
          <t>M14</t>
        </is>
      </c>
      <c r="Q13" s="6" t="inlineStr">
        <is>
          <t>M15</t>
        </is>
      </c>
      <c r="R13" s="6" t="inlineStr">
        <is>
          <t>M16</t>
        </is>
      </c>
      <c r="S13" s="6" t="inlineStr">
        <is>
          <t>M17</t>
        </is>
      </c>
      <c r="T13" s="6" t="inlineStr">
        <is>
          <t>M18</t>
        </is>
      </c>
      <c r="U13" s="6" t="inlineStr">
        <is>
          <t>M19</t>
        </is>
      </c>
      <c r="V13" s="6" t="inlineStr">
        <is>
          <t>M20</t>
        </is>
      </c>
      <c r="W13" s="6" t="inlineStr">
        <is>
          <t>M21</t>
        </is>
      </c>
      <c r="X13" s="6" t="inlineStr">
        <is>
          <t>M22</t>
        </is>
      </c>
      <c r="Y13" s="6" t="inlineStr">
        <is>
          <t>M23</t>
        </is>
      </c>
      <c r="Z13" s="6" t="inlineStr">
        <is>
          <t>M24</t>
        </is>
      </c>
    </row>
    <row r="14">
      <c r="B14" t="inlineStr">
        <is>
          <t>Loyer</t>
        </is>
      </c>
      <c r="C14" s="3" t="n">
        <v>100000</v>
      </c>
      <c r="D14" s="3" t="n">
        <v>100000</v>
      </c>
      <c r="E14" s="3" t="n">
        <v>100000</v>
      </c>
      <c r="F14" s="3" t="n">
        <v>100000</v>
      </c>
      <c r="G14" s="3" t="n">
        <v>100000</v>
      </c>
      <c r="H14" s="3" t="n">
        <v>100000</v>
      </c>
      <c r="I14" s="3" t="n">
        <v>100000</v>
      </c>
      <c r="J14" s="3" t="n">
        <v>100000</v>
      </c>
      <c r="K14" s="3" t="n">
        <v>100000</v>
      </c>
      <c r="L14" s="3" t="n">
        <v>100000</v>
      </c>
      <c r="M14" s="3" t="n">
        <v>100000</v>
      </c>
      <c r="N14" s="3" t="n">
        <v>100000</v>
      </c>
      <c r="O14" s="3" t="n">
        <v>100000</v>
      </c>
      <c r="P14" s="3" t="n">
        <v>100000</v>
      </c>
      <c r="Q14" s="3" t="n">
        <v>100000</v>
      </c>
      <c r="R14" s="3" t="n">
        <v>100000</v>
      </c>
      <c r="S14" s="3" t="n">
        <v>100000</v>
      </c>
      <c r="T14" s="3" t="n">
        <v>100000</v>
      </c>
      <c r="U14" s="3" t="n">
        <v>100000</v>
      </c>
      <c r="V14" s="3" t="n">
        <v>100000</v>
      </c>
      <c r="W14" s="3" t="n">
        <v>100000</v>
      </c>
      <c r="X14" s="3" t="n">
        <v>100000</v>
      </c>
      <c r="Y14" s="3" t="n">
        <v>100000</v>
      </c>
      <c r="Z14" s="3" t="n">
        <v>100000</v>
      </c>
    </row>
    <row r="15">
      <c r="B15" t="inlineStr">
        <is>
          <t>Electricite et eau</t>
        </is>
      </c>
      <c r="C15" s="3" t="n">
        <v>100000</v>
      </c>
      <c r="D15" s="3" t="n">
        <v>100000</v>
      </c>
      <c r="E15" s="3" t="n">
        <v>100000</v>
      </c>
      <c r="F15" s="3" t="n">
        <v>100000</v>
      </c>
      <c r="G15" s="3" t="n">
        <v>100000</v>
      </c>
      <c r="H15" s="3" t="n">
        <v>100000</v>
      </c>
      <c r="I15" s="3" t="n">
        <v>100000</v>
      </c>
      <c r="J15" s="3" t="n">
        <v>100000</v>
      </c>
      <c r="K15" s="3" t="n">
        <v>100000</v>
      </c>
      <c r="L15" s="3" t="n">
        <v>100000</v>
      </c>
      <c r="M15" s="3" t="n">
        <v>100000</v>
      </c>
      <c r="N15" s="3" t="n">
        <v>100000</v>
      </c>
      <c r="O15" s="3" t="n">
        <v>100000</v>
      </c>
      <c r="P15" s="3" t="n">
        <v>100000</v>
      </c>
      <c r="Q15" s="3" t="n">
        <v>100000</v>
      </c>
      <c r="R15" s="3" t="n">
        <v>100000</v>
      </c>
      <c r="S15" s="3" t="n">
        <v>100000</v>
      </c>
      <c r="T15" s="3" t="n">
        <v>100000</v>
      </c>
      <c r="U15" s="3" t="n">
        <v>100000</v>
      </c>
      <c r="V15" s="3" t="n">
        <v>100000</v>
      </c>
      <c r="W15" s="3" t="n">
        <v>100000</v>
      </c>
      <c r="X15" s="3" t="n">
        <v>100000</v>
      </c>
      <c r="Y15" s="3" t="n">
        <v>100000</v>
      </c>
      <c r="Z15" s="3" t="n">
        <v>100000</v>
      </c>
    </row>
    <row r="16">
      <c r="B16" t="inlineStr">
        <is>
          <t>Supabase Pro</t>
        </is>
      </c>
      <c r="C16" s="3" t="n">
        <v>15000</v>
      </c>
      <c r="D16" s="3" t="n">
        <v>15000</v>
      </c>
      <c r="E16" s="3" t="n">
        <v>15000</v>
      </c>
      <c r="F16" s="3" t="n">
        <v>15000</v>
      </c>
      <c r="G16" s="3" t="n">
        <v>15000</v>
      </c>
      <c r="H16" s="3" t="n">
        <v>15000</v>
      </c>
      <c r="I16" s="3" t="n">
        <v>15000</v>
      </c>
      <c r="J16" s="3" t="n">
        <v>15000</v>
      </c>
      <c r="K16" s="3" t="n">
        <v>15000</v>
      </c>
      <c r="L16" s="3" t="n">
        <v>15000</v>
      </c>
      <c r="M16" s="3" t="n">
        <v>15000</v>
      </c>
      <c r="N16" s="3" t="n">
        <v>15000</v>
      </c>
      <c r="O16" s="3" t="n">
        <v>15000</v>
      </c>
      <c r="P16" s="3" t="n">
        <v>15000</v>
      </c>
      <c r="Q16" s="3" t="n">
        <v>15000</v>
      </c>
      <c r="R16" s="3" t="n">
        <v>15000</v>
      </c>
      <c r="S16" s="3" t="n">
        <v>15000</v>
      </c>
      <c r="T16" s="3" t="n">
        <v>15000</v>
      </c>
      <c r="U16" s="3" t="n">
        <v>15000</v>
      </c>
      <c r="V16" s="3" t="n">
        <v>15000</v>
      </c>
      <c r="W16" s="3" t="n">
        <v>15000</v>
      </c>
      <c r="X16" s="3" t="n">
        <v>15000</v>
      </c>
      <c r="Y16" s="3" t="n">
        <v>15000</v>
      </c>
      <c r="Z16" s="3" t="n">
        <v>15000</v>
      </c>
    </row>
    <row r="17">
      <c r="B17" t="inlineStr">
        <is>
          <t>Vercel Pro</t>
        </is>
      </c>
      <c r="C17" s="3" t="n">
        <v>15000</v>
      </c>
      <c r="D17" s="3" t="n">
        <v>15000</v>
      </c>
      <c r="E17" s="3" t="n">
        <v>15000</v>
      </c>
      <c r="F17" s="3" t="n">
        <v>15000</v>
      </c>
      <c r="G17" s="3" t="n">
        <v>15000</v>
      </c>
      <c r="H17" s="3" t="n">
        <v>15000</v>
      </c>
      <c r="I17" s="3" t="n">
        <v>15000</v>
      </c>
      <c r="J17" s="3" t="n">
        <v>15000</v>
      </c>
      <c r="K17" s="3" t="n">
        <v>15000</v>
      </c>
      <c r="L17" s="3" t="n">
        <v>15000</v>
      </c>
      <c r="M17" s="3" t="n">
        <v>15000</v>
      </c>
      <c r="N17" s="3" t="n">
        <v>15000</v>
      </c>
      <c r="O17" s="3" t="n">
        <v>15000</v>
      </c>
      <c r="P17" s="3" t="n">
        <v>15000</v>
      </c>
      <c r="Q17" s="3" t="n">
        <v>15000</v>
      </c>
      <c r="R17" s="3" t="n">
        <v>15000</v>
      </c>
      <c r="S17" s="3" t="n">
        <v>15000</v>
      </c>
      <c r="T17" s="3" t="n">
        <v>15000</v>
      </c>
      <c r="U17" s="3" t="n">
        <v>15000</v>
      </c>
      <c r="V17" s="3" t="n">
        <v>15000</v>
      </c>
      <c r="W17" s="3" t="n">
        <v>15000</v>
      </c>
      <c r="X17" s="3" t="n">
        <v>15000</v>
      </c>
      <c r="Y17" s="3" t="n">
        <v>15000</v>
      </c>
      <c r="Z17" s="3" t="n">
        <v>15000</v>
      </c>
    </row>
    <row r="18">
      <c r="B18" t="inlineStr">
        <is>
          <t>Mapbox</t>
        </is>
      </c>
      <c r="C18" s="3" t="n">
        <v>25000</v>
      </c>
      <c r="D18" s="3" t="n">
        <v>25000</v>
      </c>
      <c r="E18" s="3" t="n">
        <v>25000</v>
      </c>
      <c r="F18" s="3" t="n">
        <v>25000</v>
      </c>
      <c r="G18" s="3" t="n">
        <v>25000</v>
      </c>
      <c r="H18" s="3" t="n">
        <v>25000</v>
      </c>
      <c r="I18" s="3" t="n">
        <v>25000</v>
      </c>
      <c r="J18" s="3" t="n">
        <v>25000</v>
      </c>
      <c r="K18" s="3" t="n">
        <v>25000</v>
      </c>
      <c r="L18" s="3" t="n">
        <v>25000</v>
      </c>
      <c r="M18" s="3" t="n">
        <v>25000</v>
      </c>
      <c r="N18" s="3" t="n">
        <v>25000</v>
      </c>
      <c r="O18" s="3" t="n">
        <v>25000</v>
      </c>
      <c r="P18" s="3" t="n">
        <v>25000</v>
      </c>
      <c r="Q18" s="3" t="n">
        <v>25000</v>
      </c>
      <c r="R18" s="3" t="n">
        <v>25000</v>
      </c>
      <c r="S18" s="3" t="n">
        <v>25000</v>
      </c>
      <c r="T18" s="3" t="n">
        <v>25000</v>
      </c>
      <c r="U18" s="3" t="n">
        <v>25000</v>
      </c>
      <c r="V18" s="3" t="n">
        <v>25000</v>
      </c>
      <c r="W18" s="3" t="n">
        <v>25000</v>
      </c>
      <c r="X18" s="3" t="n">
        <v>25000</v>
      </c>
      <c r="Y18" s="3" t="n">
        <v>25000</v>
      </c>
      <c r="Z18" s="3" t="n">
        <v>25000</v>
      </c>
    </row>
    <row r="19">
      <c r="B19" t="inlineStr">
        <is>
          <t>Twilio SMS</t>
        </is>
      </c>
      <c r="C19" s="3" t="n">
        <v>25000</v>
      </c>
      <c r="D19" s="3" t="n">
        <v>25000</v>
      </c>
      <c r="E19" s="3" t="n">
        <v>25000</v>
      </c>
      <c r="F19" s="3" t="n">
        <v>25000</v>
      </c>
      <c r="G19" s="3" t="n">
        <v>25000</v>
      </c>
      <c r="H19" s="3" t="n">
        <v>25000</v>
      </c>
      <c r="I19" s="3" t="n">
        <v>25000</v>
      </c>
      <c r="J19" s="3" t="n">
        <v>25000</v>
      </c>
      <c r="K19" s="3" t="n">
        <v>25000</v>
      </c>
      <c r="L19" s="3" t="n">
        <v>25000</v>
      </c>
      <c r="M19" s="3" t="n">
        <v>25000</v>
      </c>
      <c r="N19" s="3" t="n">
        <v>25000</v>
      </c>
      <c r="O19" s="3" t="n">
        <v>25000</v>
      </c>
      <c r="P19" s="3" t="n">
        <v>25000</v>
      </c>
      <c r="Q19" s="3" t="n">
        <v>25000</v>
      </c>
      <c r="R19" s="3" t="n">
        <v>25000</v>
      </c>
      <c r="S19" s="3" t="n">
        <v>25000</v>
      </c>
      <c r="T19" s="3" t="n">
        <v>25000</v>
      </c>
      <c r="U19" s="3" t="n">
        <v>25000</v>
      </c>
      <c r="V19" s="3" t="n">
        <v>25000</v>
      </c>
      <c r="W19" s="3" t="n">
        <v>25000</v>
      </c>
      <c r="X19" s="3" t="n">
        <v>25000</v>
      </c>
      <c r="Y19" s="3" t="n">
        <v>25000</v>
      </c>
      <c r="Z19" s="3" t="n">
        <v>25000</v>
      </c>
    </row>
    <row r="20">
      <c r="B20" t="inlineStr">
        <is>
          <t>IA Vision</t>
        </is>
      </c>
      <c r="C20" s="3" t="n">
        <v>10000</v>
      </c>
      <c r="D20" s="3" t="n">
        <v>10000</v>
      </c>
      <c r="E20" s="3" t="n">
        <v>10000</v>
      </c>
      <c r="F20" s="3" t="n">
        <v>10000</v>
      </c>
      <c r="G20" s="3" t="n">
        <v>10000</v>
      </c>
      <c r="H20" s="3" t="n">
        <v>10000</v>
      </c>
      <c r="I20" s="3" t="n">
        <v>10000</v>
      </c>
      <c r="J20" s="3" t="n">
        <v>10000</v>
      </c>
      <c r="K20" s="3" t="n">
        <v>10000</v>
      </c>
      <c r="L20" s="3" t="n">
        <v>10000</v>
      </c>
      <c r="M20" s="3" t="n">
        <v>10000</v>
      </c>
      <c r="N20" s="3" t="n">
        <v>10000</v>
      </c>
      <c r="O20" s="3" t="n">
        <v>10000</v>
      </c>
      <c r="P20" s="3" t="n">
        <v>10000</v>
      </c>
      <c r="Q20" s="3" t="n">
        <v>10000</v>
      </c>
      <c r="R20" s="3" t="n">
        <v>10000</v>
      </c>
      <c r="S20" s="3" t="n">
        <v>10000</v>
      </c>
      <c r="T20" s="3" t="n">
        <v>10000</v>
      </c>
      <c r="U20" s="3" t="n">
        <v>10000</v>
      </c>
      <c r="V20" s="3" t="n">
        <v>10000</v>
      </c>
      <c r="W20" s="3" t="n">
        <v>10000</v>
      </c>
      <c r="X20" s="3" t="n">
        <v>10000</v>
      </c>
      <c r="Y20" s="3" t="n">
        <v>10000</v>
      </c>
      <c r="Z20" s="3" t="n">
        <v>10000</v>
      </c>
    </row>
    <row r="21">
      <c r="B21" t="inlineStr">
        <is>
          <t>Claude Code</t>
        </is>
      </c>
      <c r="C21" s="3" t="n">
        <v>65000</v>
      </c>
      <c r="D21" s="3" t="n">
        <v>65000</v>
      </c>
      <c r="E21" s="3" t="n">
        <v>65000</v>
      </c>
      <c r="F21" s="3" t="n">
        <v>65000</v>
      </c>
      <c r="G21" s="3" t="n">
        <v>65000</v>
      </c>
      <c r="H21" s="3" t="n">
        <v>65000</v>
      </c>
      <c r="I21" s="3" t="n">
        <v>65000</v>
      </c>
      <c r="J21" s="3" t="n">
        <v>65000</v>
      </c>
      <c r="K21" s="3" t="n">
        <v>65000</v>
      </c>
      <c r="L21" s="3" t="n">
        <v>65000</v>
      </c>
      <c r="M21" s="3" t="n">
        <v>65000</v>
      </c>
      <c r="N21" s="3" t="n">
        <v>65000</v>
      </c>
      <c r="O21" s="3" t="n">
        <v>65000</v>
      </c>
      <c r="P21" s="3" t="n">
        <v>65000</v>
      </c>
      <c r="Q21" s="3" t="n">
        <v>65000</v>
      </c>
      <c r="R21" s="3" t="n">
        <v>65000</v>
      </c>
      <c r="S21" s="3" t="n">
        <v>65000</v>
      </c>
      <c r="T21" s="3" t="n">
        <v>65000</v>
      </c>
      <c r="U21" s="3" t="n">
        <v>65000</v>
      </c>
      <c r="V21" s="3" t="n">
        <v>65000</v>
      </c>
      <c r="W21" s="3" t="n">
        <v>65000</v>
      </c>
      <c r="X21" s="3" t="n">
        <v>65000</v>
      </c>
      <c r="Y21" s="3" t="n">
        <v>65000</v>
      </c>
      <c r="Z21" s="3" t="n">
        <v>65000</v>
      </c>
    </row>
    <row r="22">
      <c r="B22" t="inlineStr">
        <is>
          <t>Domaine pro + email pro</t>
        </is>
      </c>
      <c r="C22" s="3" t="n">
        <v>2500</v>
      </c>
      <c r="D22" s="3" t="n">
        <v>2500</v>
      </c>
      <c r="E22" s="3" t="n">
        <v>2500</v>
      </c>
      <c r="F22" s="3" t="n">
        <v>2500</v>
      </c>
      <c r="G22" s="3" t="n">
        <v>2500</v>
      </c>
      <c r="H22" s="3" t="n">
        <v>2500</v>
      </c>
      <c r="I22" s="3" t="n">
        <v>2500</v>
      </c>
      <c r="J22" s="3" t="n">
        <v>2500</v>
      </c>
      <c r="K22" s="3" t="n">
        <v>2500</v>
      </c>
      <c r="L22" s="3" t="n">
        <v>2500</v>
      </c>
      <c r="M22" s="3" t="n">
        <v>2500</v>
      </c>
      <c r="N22" s="3" t="n">
        <v>2500</v>
      </c>
      <c r="O22" s="3" t="n">
        <v>2500</v>
      </c>
      <c r="P22" s="3" t="n">
        <v>2500</v>
      </c>
      <c r="Q22" s="3" t="n">
        <v>2500</v>
      </c>
      <c r="R22" s="3" t="n">
        <v>2500</v>
      </c>
      <c r="S22" s="3" t="n">
        <v>2500</v>
      </c>
      <c r="T22" s="3" t="n">
        <v>2500</v>
      </c>
      <c r="U22" s="3" t="n">
        <v>2500</v>
      </c>
      <c r="V22" s="3" t="n">
        <v>2500</v>
      </c>
      <c r="W22" s="3" t="n">
        <v>2500</v>
      </c>
      <c r="X22" s="3" t="n">
        <v>2500</v>
      </c>
      <c r="Y22" s="3" t="n">
        <v>2500</v>
      </c>
      <c r="Z22" s="3" t="n">
        <v>2500</v>
      </c>
    </row>
    <row r="23">
      <c r="B23" t="inlineStr">
        <is>
          <t>Secretaire</t>
        </is>
      </c>
      <c r="C23" s="3" t="n">
        <v>100000</v>
      </c>
      <c r="D23" s="3" t="n">
        <v>100000</v>
      </c>
      <c r="E23" s="3" t="n">
        <v>100000</v>
      </c>
      <c r="F23" s="3" t="n">
        <v>100000</v>
      </c>
      <c r="G23" s="3" t="n">
        <v>100000</v>
      </c>
      <c r="H23" s="3" t="n">
        <v>100000</v>
      </c>
      <c r="I23" s="3" t="n">
        <v>100000</v>
      </c>
      <c r="J23" s="3" t="n">
        <v>100000</v>
      </c>
      <c r="K23" s="3" t="n">
        <v>100000</v>
      </c>
      <c r="L23" s="3" t="n">
        <v>100000</v>
      </c>
      <c r="M23" s="3" t="n">
        <v>100000</v>
      </c>
      <c r="N23" s="3" t="n">
        <v>100000</v>
      </c>
      <c r="O23" s="3" t="n">
        <v>100000</v>
      </c>
      <c r="P23" s="3" t="n">
        <v>100000</v>
      </c>
      <c r="Q23" s="3" t="n">
        <v>100000</v>
      </c>
      <c r="R23" s="3" t="n">
        <v>100000</v>
      </c>
      <c r="S23" s="3" t="n">
        <v>100000</v>
      </c>
      <c r="T23" s="3" t="n">
        <v>100000</v>
      </c>
      <c r="U23" s="3" t="n">
        <v>100000</v>
      </c>
      <c r="V23" s="3" t="n">
        <v>100000</v>
      </c>
      <c r="W23" s="3" t="n">
        <v>100000</v>
      </c>
      <c r="X23" s="3" t="n">
        <v>100000</v>
      </c>
      <c r="Y23" s="3" t="n">
        <v>100000</v>
      </c>
      <c r="Z23" s="3" t="n">
        <v>100000</v>
      </c>
    </row>
    <row r="24">
      <c r="B24" t="inlineStr">
        <is>
          <t>Community manager</t>
        </is>
      </c>
      <c r="C24" s="3" t="n">
        <v>75000</v>
      </c>
      <c r="D24" s="3" t="n">
        <v>75000</v>
      </c>
      <c r="E24" s="3" t="n">
        <v>75000</v>
      </c>
      <c r="F24" s="3" t="n">
        <v>75000</v>
      </c>
      <c r="G24" s="3" t="n">
        <v>75000</v>
      </c>
      <c r="H24" s="3" t="n">
        <v>75000</v>
      </c>
      <c r="I24" s="3" t="n">
        <v>75000</v>
      </c>
      <c r="J24" s="3" t="n">
        <v>75000</v>
      </c>
      <c r="K24" s="3" t="n">
        <v>75000</v>
      </c>
      <c r="L24" s="3" t="n">
        <v>75000</v>
      </c>
      <c r="M24" s="3" t="n">
        <v>75000</v>
      </c>
      <c r="N24" s="3" t="n">
        <v>75000</v>
      </c>
      <c r="O24" s="3" t="n">
        <v>75000</v>
      </c>
      <c r="P24" s="3" t="n">
        <v>75000</v>
      </c>
      <c r="Q24" s="3" t="n">
        <v>75000</v>
      </c>
      <c r="R24" s="3" t="n">
        <v>75000</v>
      </c>
      <c r="S24" s="3" t="n">
        <v>75000</v>
      </c>
      <c r="T24" s="3" t="n">
        <v>75000</v>
      </c>
      <c r="U24" s="3" t="n">
        <v>75000</v>
      </c>
      <c r="V24" s="3" t="n">
        <v>75000</v>
      </c>
      <c r="W24" s="3" t="n">
        <v>75000</v>
      </c>
      <c r="X24" s="3" t="n">
        <v>75000</v>
      </c>
      <c r="Y24" s="3" t="n">
        <v>75000</v>
      </c>
      <c r="Z24" s="3" t="n">
        <v>75000</v>
      </c>
    </row>
    <row r="25">
      <c r="B25" t="inlineStr">
        <is>
          <t>Comptable externe</t>
        </is>
      </c>
      <c r="C25" s="3" t="n">
        <v>75000</v>
      </c>
      <c r="D25" s="3" t="n">
        <v>75000</v>
      </c>
      <c r="E25" s="3" t="n">
        <v>75000</v>
      </c>
      <c r="F25" s="3" t="n">
        <v>75000</v>
      </c>
      <c r="G25" s="3" t="n">
        <v>75000</v>
      </c>
      <c r="H25" s="3" t="n">
        <v>75000</v>
      </c>
      <c r="I25" s="3" t="n">
        <v>75000</v>
      </c>
      <c r="J25" s="3" t="n">
        <v>75000</v>
      </c>
      <c r="K25" s="3" t="n">
        <v>75000</v>
      </c>
      <c r="L25" s="3" t="n">
        <v>75000</v>
      </c>
      <c r="M25" s="3" t="n">
        <v>75000</v>
      </c>
      <c r="N25" s="3" t="n">
        <v>75000</v>
      </c>
      <c r="O25" s="3" t="n">
        <v>75000</v>
      </c>
      <c r="P25" s="3" t="n">
        <v>75000</v>
      </c>
      <c r="Q25" s="3" t="n">
        <v>75000</v>
      </c>
      <c r="R25" s="3" t="n">
        <v>75000</v>
      </c>
      <c r="S25" s="3" t="n">
        <v>75000</v>
      </c>
      <c r="T25" s="3" t="n">
        <v>75000</v>
      </c>
      <c r="U25" s="3" t="n">
        <v>75000</v>
      </c>
      <c r="V25" s="3" t="n">
        <v>75000</v>
      </c>
      <c r="W25" s="3" t="n">
        <v>75000</v>
      </c>
      <c r="X25" s="3" t="n">
        <v>75000</v>
      </c>
      <c r="Y25" s="3" t="n">
        <v>75000</v>
      </c>
      <c r="Z25" s="3" t="n">
        <v>75000</v>
      </c>
    </row>
    <row r="26">
      <c r="B26" t="inlineStr">
        <is>
          <t>Juriste consultant</t>
        </is>
      </c>
      <c r="C26" s="3" t="n">
        <v>50000</v>
      </c>
      <c r="D26" s="3" t="n">
        <v>50000</v>
      </c>
      <c r="E26" s="3" t="n">
        <v>50000</v>
      </c>
      <c r="F26" s="3" t="n">
        <v>50000</v>
      </c>
      <c r="G26" s="3" t="n">
        <v>50000</v>
      </c>
      <c r="H26" s="3" t="n">
        <v>50000</v>
      </c>
      <c r="I26" s="3" t="n">
        <v>50000</v>
      </c>
      <c r="J26" s="3" t="n">
        <v>50000</v>
      </c>
      <c r="K26" s="3" t="n">
        <v>50000</v>
      </c>
      <c r="L26" s="3" t="n">
        <v>50000</v>
      </c>
      <c r="M26" s="3" t="n">
        <v>50000</v>
      </c>
      <c r="N26" s="3" t="n">
        <v>50000</v>
      </c>
      <c r="O26" s="3" t="n">
        <v>50000</v>
      </c>
      <c r="P26" s="3" t="n">
        <v>50000</v>
      </c>
      <c r="Q26" s="3" t="n">
        <v>50000</v>
      </c>
      <c r="R26" s="3" t="n">
        <v>50000</v>
      </c>
      <c r="S26" s="3" t="n">
        <v>50000</v>
      </c>
      <c r="T26" s="3" t="n">
        <v>50000</v>
      </c>
      <c r="U26" s="3" t="n">
        <v>50000</v>
      </c>
      <c r="V26" s="3" t="n">
        <v>50000</v>
      </c>
      <c r="W26" s="3" t="n">
        <v>50000</v>
      </c>
      <c r="X26" s="3" t="n">
        <v>50000</v>
      </c>
      <c r="Y26" s="3" t="n">
        <v>50000</v>
      </c>
      <c r="Z26" s="3" t="n">
        <v>50000</v>
      </c>
    </row>
    <row r="27">
      <c r="B27" t="inlineStr">
        <is>
          <t>Financier &amp; Mobile Money + assurance RC</t>
        </is>
      </c>
      <c r="C27" s="3" t="n">
        <v>77000</v>
      </c>
      <c r="D27" s="3" t="n">
        <v>77000</v>
      </c>
      <c r="E27" s="3" t="n">
        <v>77000</v>
      </c>
      <c r="F27" s="3" t="n">
        <v>77000</v>
      </c>
      <c r="G27" s="3" t="n">
        <v>77000</v>
      </c>
      <c r="H27" s="3" t="n">
        <v>77000</v>
      </c>
      <c r="I27" s="3" t="n">
        <v>77000</v>
      </c>
      <c r="J27" s="3" t="n">
        <v>77000</v>
      </c>
      <c r="K27" s="3" t="n">
        <v>77000</v>
      </c>
      <c r="L27" s="3" t="n">
        <v>77000</v>
      </c>
      <c r="M27" s="3" t="n">
        <v>77000</v>
      </c>
      <c r="N27" s="3" t="n">
        <v>77000</v>
      </c>
      <c r="O27" s="3" t="n">
        <v>82000</v>
      </c>
      <c r="P27" s="3" t="n">
        <v>82000</v>
      </c>
      <c r="Q27" s="3" t="n">
        <v>82000</v>
      </c>
      <c r="R27" s="3" t="n">
        <v>82000</v>
      </c>
      <c r="S27" s="3" t="n">
        <v>82000</v>
      </c>
      <c r="T27" s="3" t="n">
        <v>82000</v>
      </c>
      <c r="U27" s="3" t="n">
        <v>82000</v>
      </c>
      <c r="V27" s="3" t="n">
        <v>82000</v>
      </c>
      <c r="W27" s="3" t="n">
        <v>82000</v>
      </c>
      <c r="X27" s="3" t="n">
        <v>82000</v>
      </c>
      <c r="Y27" s="3" t="n">
        <v>82000</v>
      </c>
      <c r="Z27" s="3" t="n">
        <v>82000</v>
      </c>
    </row>
    <row r="28">
      <c r="B28" s="11" t="inlineStr">
        <is>
          <t>Responsable operations [3% des courses terminees, plancher 150k]</t>
        </is>
      </c>
      <c r="C28" s="3" t="n">
        <v>0</v>
      </c>
      <c r="D28" s="3" t="n">
        <v>150000</v>
      </c>
      <c r="E28" s="3" t="n">
        <v>150000</v>
      </c>
      <c r="F28" s="3" t="n">
        <v>150000</v>
      </c>
      <c r="G28" s="3" t="n">
        <v>187200</v>
      </c>
      <c r="H28" s="3" t="n">
        <v>234000</v>
      </c>
      <c r="I28" s="3" t="n">
        <v>269100</v>
      </c>
      <c r="J28" s="3" t="n">
        <v>304200</v>
      </c>
      <c r="K28" s="3" t="n">
        <v>327600</v>
      </c>
      <c r="L28" s="3" t="n">
        <v>351000</v>
      </c>
      <c r="M28" s="3" t="n">
        <v>374400</v>
      </c>
      <c r="N28" s="3" t="n">
        <v>397800</v>
      </c>
      <c r="O28" s="3" t="n">
        <v>421200</v>
      </c>
      <c r="P28" s="3" t="n">
        <v>444600</v>
      </c>
      <c r="Q28" s="3" t="n">
        <v>468000</v>
      </c>
      <c r="R28" s="3" t="n">
        <v>468000</v>
      </c>
      <c r="S28" s="3" t="n">
        <v>468000</v>
      </c>
      <c r="T28" s="3" t="n">
        <v>468000</v>
      </c>
      <c r="U28" s="3" t="n">
        <v>468000</v>
      </c>
      <c r="V28" s="3" t="n">
        <v>468000</v>
      </c>
      <c r="W28" s="3" t="n">
        <v>468000</v>
      </c>
      <c r="X28" s="3" t="n">
        <v>468000</v>
      </c>
      <c r="Y28" s="3" t="n">
        <v>468000</v>
      </c>
      <c r="Z28" s="3" t="n">
        <v>468000</v>
      </c>
    </row>
    <row r="29">
      <c r="B29" t="inlineStr">
        <is>
          <t>Ads Reseaux sociaux (Facebook + TikTok)</t>
        </is>
      </c>
      <c r="C29" s="3" t="n">
        <v>100000</v>
      </c>
      <c r="D29" s="3" t="n">
        <v>100000</v>
      </c>
      <c r="E29" s="3" t="n">
        <v>100000</v>
      </c>
      <c r="F29" s="3" t="n">
        <v>100000</v>
      </c>
      <c r="G29" s="3" t="n">
        <v>100000</v>
      </c>
      <c r="H29" s="3" t="n">
        <v>100000</v>
      </c>
      <c r="I29" s="3" t="n">
        <v>100000</v>
      </c>
      <c r="J29" s="3" t="n">
        <v>100000</v>
      </c>
      <c r="K29" s="3" t="n">
        <v>100000</v>
      </c>
      <c r="L29" s="3" t="n">
        <v>100000</v>
      </c>
      <c r="M29" s="3" t="n">
        <v>100000</v>
      </c>
      <c r="N29" s="3" t="n">
        <v>100000</v>
      </c>
      <c r="O29" s="3" t="n">
        <v>100000</v>
      </c>
      <c r="P29" s="3" t="n">
        <v>100000</v>
      </c>
      <c r="Q29" s="3" t="n">
        <v>100000</v>
      </c>
      <c r="R29" s="3" t="n">
        <v>100000</v>
      </c>
      <c r="S29" s="3" t="n">
        <v>100000</v>
      </c>
      <c r="T29" s="3" t="n">
        <v>100000</v>
      </c>
      <c r="U29" s="3" t="n">
        <v>100000</v>
      </c>
      <c r="V29" s="3" t="n">
        <v>100000</v>
      </c>
      <c r="W29" s="3" t="n">
        <v>100000</v>
      </c>
      <c r="X29" s="3" t="n">
        <v>100000</v>
      </c>
      <c r="Y29" s="3" t="n">
        <v>100000</v>
      </c>
      <c r="Z29" s="3" t="n">
        <v>100000</v>
      </c>
    </row>
    <row r="30">
      <c r="B30" t="inlineStr">
        <is>
          <t>Ads Google</t>
        </is>
      </c>
      <c r="C30" s="3" t="n">
        <v>30000</v>
      </c>
      <c r="D30" s="3" t="n">
        <v>30000</v>
      </c>
      <c r="E30" s="3" t="n">
        <v>30000</v>
      </c>
      <c r="F30" s="3" t="n">
        <v>30000</v>
      </c>
      <c r="G30" s="3" t="n">
        <v>30000</v>
      </c>
      <c r="H30" s="3" t="n">
        <v>30000</v>
      </c>
      <c r="I30" s="3" t="n">
        <v>30000</v>
      </c>
      <c r="J30" s="3" t="n">
        <v>30000</v>
      </c>
      <c r="K30" s="3" t="n">
        <v>30000</v>
      </c>
      <c r="L30" s="3" t="n">
        <v>30000</v>
      </c>
      <c r="M30" s="3" t="n">
        <v>30000</v>
      </c>
      <c r="N30" s="3" t="n">
        <v>30000</v>
      </c>
      <c r="O30" s="3" t="n">
        <v>30000</v>
      </c>
      <c r="P30" s="3" t="n">
        <v>30000</v>
      </c>
      <c r="Q30" s="3" t="n">
        <v>30000</v>
      </c>
      <c r="R30" s="3" t="n">
        <v>30000</v>
      </c>
      <c r="S30" s="3" t="n">
        <v>30000</v>
      </c>
      <c r="T30" s="3" t="n">
        <v>30000</v>
      </c>
      <c r="U30" s="3" t="n">
        <v>30000</v>
      </c>
      <c r="V30" s="3" t="n">
        <v>30000</v>
      </c>
      <c r="W30" s="3" t="n">
        <v>30000</v>
      </c>
      <c r="X30" s="3" t="n">
        <v>30000</v>
      </c>
      <c r="Y30" s="3" t="n">
        <v>30000</v>
      </c>
      <c r="Z30" s="3" t="n">
        <v>30000</v>
      </c>
    </row>
    <row r="31">
      <c r="B31" s="12" t="inlineStr">
        <is>
          <t>Radio locale (spots) [DISCIPLINE : lancement M1-M6]</t>
        </is>
      </c>
      <c r="C31" s="3" t="n">
        <v>200000</v>
      </c>
      <c r="D31" s="3" t="n">
        <v>200000</v>
      </c>
      <c r="E31" s="3" t="n">
        <v>200000</v>
      </c>
      <c r="F31" s="3" t="n">
        <v>200000</v>
      </c>
      <c r="G31" s="3" t="n">
        <v>200000</v>
      </c>
      <c r="H31" s="3" t="n">
        <v>200000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</row>
    <row r="32">
      <c r="B32" s="12" t="inlineStr">
        <is>
          <t>Street marketing + flyers [DISCIPLINE : 300k/mois a plat]</t>
        </is>
      </c>
      <c r="C32" s="3" t="n">
        <v>300000</v>
      </c>
      <c r="D32" s="3" t="n">
        <v>300000</v>
      </c>
      <c r="E32" s="3" t="n">
        <v>300000</v>
      </c>
      <c r="F32" s="3" t="n">
        <v>300000</v>
      </c>
      <c r="G32" s="3" t="n">
        <v>300000</v>
      </c>
      <c r="H32" s="3" t="n">
        <v>300000</v>
      </c>
      <c r="I32" s="3" t="n">
        <v>300000</v>
      </c>
      <c r="J32" s="3" t="n">
        <v>300000</v>
      </c>
      <c r="K32" s="3" t="n">
        <v>300000</v>
      </c>
      <c r="L32" s="3" t="n">
        <v>300000</v>
      </c>
      <c r="M32" s="3" t="n">
        <v>300000</v>
      </c>
      <c r="N32" s="3" t="n">
        <v>300000</v>
      </c>
      <c r="O32" s="3" t="n">
        <v>300000</v>
      </c>
      <c r="P32" s="3" t="n">
        <v>300000</v>
      </c>
      <c r="Q32" s="3" t="n">
        <v>300000</v>
      </c>
      <c r="R32" s="3" t="n">
        <v>300000</v>
      </c>
      <c r="S32" s="3" t="n">
        <v>300000</v>
      </c>
      <c r="T32" s="3" t="n">
        <v>300000</v>
      </c>
      <c r="U32" s="3" t="n">
        <v>300000</v>
      </c>
      <c r="V32" s="3" t="n">
        <v>300000</v>
      </c>
      <c r="W32" s="3" t="n">
        <v>300000</v>
      </c>
      <c r="X32" s="3" t="n">
        <v>300000</v>
      </c>
      <c r="Y32" s="3" t="n">
        <v>300000</v>
      </c>
      <c r="Z32" s="3" t="n">
        <v>300000</v>
      </c>
    </row>
    <row r="33">
      <c r="B33" t="inlineStr">
        <is>
          <t>Parrainage (bonus 500 F)</t>
        </is>
      </c>
      <c r="C33" s="3" t="n">
        <v>100000</v>
      </c>
      <c r="D33" s="3" t="n">
        <v>100000</v>
      </c>
      <c r="E33" s="3" t="n">
        <v>100000</v>
      </c>
      <c r="F33" s="3" t="n">
        <v>100000</v>
      </c>
      <c r="G33" s="3" t="n">
        <v>100000</v>
      </c>
      <c r="H33" s="3" t="n">
        <v>100000</v>
      </c>
      <c r="I33" s="3" t="n">
        <v>100000</v>
      </c>
      <c r="J33" s="3" t="n">
        <v>100000</v>
      </c>
      <c r="K33" s="3" t="n">
        <v>100000</v>
      </c>
      <c r="L33" s="3" t="n">
        <v>100000</v>
      </c>
      <c r="M33" s="3" t="n">
        <v>100000</v>
      </c>
      <c r="N33" s="3" t="n">
        <v>100000</v>
      </c>
      <c r="O33" s="3" t="n">
        <v>100000</v>
      </c>
      <c r="P33" s="3" t="n">
        <v>100000</v>
      </c>
      <c r="Q33" s="3" t="n">
        <v>100000</v>
      </c>
      <c r="R33" s="3" t="n">
        <v>100000</v>
      </c>
      <c r="S33" s="3" t="n">
        <v>100000</v>
      </c>
      <c r="T33" s="3" t="n">
        <v>100000</v>
      </c>
      <c r="U33" s="3" t="n">
        <v>100000</v>
      </c>
      <c r="V33" s="3" t="n">
        <v>100000</v>
      </c>
      <c r="W33" s="3" t="n">
        <v>100000</v>
      </c>
      <c r="X33" s="3" t="n">
        <v>100000</v>
      </c>
      <c r="Y33" s="3" t="n">
        <v>100000</v>
      </c>
      <c r="Z33" s="3" t="n">
        <v>100000</v>
      </c>
    </row>
    <row r="34">
      <c r="B34" s="5" t="inlineStr">
        <is>
          <t>TOTAL OPEX MENSUEL</t>
        </is>
      </c>
      <c r="C34" s="8" t="n">
        <v>1464500</v>
      </c>
      <c r="D34" s="8" t="n">
        <v>1614500</v>
      </c>
      <c r="E34" s="8" t="n">
        <v>1614500</v>
      </c>
      <c r="F34" s="8" t="n">
        <v>1614500</v>
      </c>
      <c r="G34" s="8" t="n">
        <v>1651700</v>
      </c>
      <c r="H34" s="8" t="n">
        <v>1698500</v>
      </c>
      <c r="I34" s="8" t="n">
        <v>1533600</v>
      </c>
      <c r="J34" s="8" t="n">
        <v>1568700</v>
      </c>
      <c r="K34" s="8" t="n">
        <v>1592100</v>
      </c>
      <c r="L34" s="8" t="n">
        <v>1615500</v>
      </c>
      <c r="M34" s="8" t="n">
        <v>1638900</v>
      </c>
      <c r="N34" s="8" t="n">
        <v>1662300</v>
      </c>
      <c r="O34" s="8" t="n">
        <v>1690700</v>
      </c>
      <c r="P34" s="8" t="n">
        <v>1714100</v>
      </c>
      <c r="Q34" s="8" t="n">
        <v>1737500</v>
      </c>
      <c r="R34" s="8" t="n">
        <v>1737500</v>
      </c>
      <c r="S34" s="8" t="n">
        <v>1737500</v>
      </c>
      <c r="T34" s="8" t="n">
        <v>1737500</v>
      </c>
      <c r="U34" s="8" t="n">
        <v>1737500</v>
      </c>
      <c r="V34" s="8" t="n">
        <v>1737500</v>
      </c>
      <c r="W34" s="8" t="n">
        <v>1737500</v>
      </c>
      <c r="X34" s="8" t="n">
        <v>1737500</v>
      </c>
      <c r="Y34" s="8" t="n">
        <v>1737500</v>
      </c>
      <c r="Z34" s="8" t="n">
        <v>1737500</v>
      </c>
    </row>
    <row r="36">
      <c r="B36" t="inlineStr">
        <is>
          <t>OPEX An 1 (12 mois)</t>
        </is>
      </c>
      <c r="C36" s="9" t="n">
        <v>19269300</v>
      </c>
    </row>
    <row r="37">
      <c r="B37" t="inlineStr">
        <is>
          <t>OPEX An 2 (12 mois)</t>
        </is>
      </c>
      <c r="C37" s="9" t="n">
        <v>20779800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"/>
  <sheetViews>
    <sheetView workbookViewId="0">
      <selection activeCell="A1" sqref="A1"/>
    </sheetView>
  </sheetViews>
  <sheetFormatPr baseColWidth="8" defaultRowHeight="15"/>
  <cols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B1" s="1" t="inlineStr">
        <is>
          <t>P&amp;L consolide - 24 mois (v3)</t>
        </is>
      </c>
    </row>
    <row r="2">
      <c r="B2" s="5" t="inlineStr">
        <is>
          <t>Poste</t>
        </is>
      </c>
      <c r="C2" s="6" t="inlineStr">
        <is>
          <t>M1</t>
        </is>
      </c>
      <c r="D2" s="6" t="inlineStr">
        <is>
          <t>M2</t>
        </is>
      </c>
      <c r="E2" s="6" t="inlineStr">
        <is>
          <t>M3</t>
        </is>
      </c>
      <c r="F2" s="6" t="inlineStr">
        <is>
          <t>M4</t>
        </is>
      </c>
      <c r="G2" s="6" t="inlineStr">
        <is>
          <t>M5</t>
        </is>
      </c>
      <c r="H2" s="6" t="inlineStr">
        <is>
          <t>M6</t>
        </is>
      </c>
      <c r="I2" s="6" t="inlineStr">
        <is>
          <t>M7</t>
        </is>
      </c>
      <c r="J2" s="6" t="inlineStr">
        <is>
          <t>M8</t>
        </is>
      </c>
      <c r="K2" s="6" t="inlineStr">
        <is>
          <t>M9</t>
        </is>
      </c>
      <c r="L2" s="6" t="inlineStr">
        <is>
          <t>M10</t>
        </is>
      </c>
      <c r="M2" s="6" t="inlineStr">
        <is>
          <t>M11</t>
        </is>
      </c>
      <c r="N2" s="6" t="inlineStr">
        <is>
          <t>M12</t>
        </is>
      </c>
      <c r="O2" s="6" t="inlineStr">
        <is>
          <t>M13</t>
        </is>
      </c>
      <c r="P2" s="6" t="inlineStr">
        <is>
          <t>M14</t>
        </is>
      </c>
      <c r="Q2" s="6" t="inlineStr">
        <is>
          <t>M15</t>
        </is>
      </c>
      <c r="R2" s="6" t="inlineStr">
        <is>
          <t>M16</t>
        </is>
      </c>
      <c r="S2" s="6" t="inlineStr">
        <is>
          <t>M17</t>
        </is>
      </c>
      <c r="T2" s="6" t="inlineStr">
        <is>
          <t>M18</t>
        </is>
      </c>
      <c r="U2" s="6" t="inlineStr">
        <is>
          <t>M19</t>
        </is>
      </c>
      <c r="V2" s="6" t="inlineStr">
        <is>
          <t>M20</t>
        </is>
      </c>
      <c r="W2" s="6" t="inlineStr">
        <is>
          <t>M21</t>
        </is>
      </c>
      <c r="X2" s="6" t="inlineStr">
        <is>
          <t>M22</t>
        </is>
      </c>
      <c r="Y2" s="6" t="inlineStr">
        <is>
          <t>M23</t>
        </is>
      </c>
      <c r="Z2" s="6" t="inlineStr">
        <is>
          <t>M24</t>
        </is>
      </c>
    </row>
    <row r="3">
      <c r="B3" s="13" t="inlineStr">
        <is>
          <t>Recettes plateforme</t>
        </is>
      </c>
      <c r="C3" s="3" t="n">
        <v>0</v>
      </c>
      <c r="D3" s="3" t="n">
        <v>360800</v>
      </c>
      <c r="E3" s="3" t="n">
        <v>721600</v>
      </c>
      <c r="F3" s="3" t="n">
        <v>1082400</v>
      </c>
      <c r="G3" s="3" t="n">
        <v>1443200</v>
      </c>
      <c r="H3" s="3" t="n">
        <v>1804000</v>
      </c>
      <c r="I3" s="3" t="n">
        <v>2074600</v>
      </c>
      <c r="J3" s="3" t="n">
        <v>2345200</v>
      </c>
      <c r="K3" s="3" t="n">
        <v>2525600</v>
      </c>
      <c r="L3" s="3" t="n">
        <v>2706000</v>
      </c>
      <c r="M3" s="3" t="n">
        <v>2886400</v>
      </c>
      <c r="N3" s="3" t="n">
        <v>3066800</v>
      </c>
      <c r="O3" s="3" t="n">
        <v>3106800</v>
      </c>
      <c r="P3" s="3" t="n">
        <v>3279400</v>
      </c>
      <c r="Q3" s="3" t="n">
        <v>3452000</v>
      </c>
      <c r="R3" s="3" t="n">
        <v>3452000</v>
      </c>
      <c r="S3" s="3" t="n">
        <v>3452000</v>
      </c>
      <c r="T3" s="3" t="n">
        <v>3452000</v>
      </c>
      <c r="U3" s="3" t="n">
        <v>3452000</v>
      </c>
      <c r="V3" s="3" t="n">
        <v>3452000</v>
      </c>
      <c r="W3" s="3" t="n">
        <v>3452000</v>
      </c>
      <c r="X3" s="3" t="n">
        <v>3452000</v>
      </c>
      <c r="Y3" s="3" t="n">
        <v>3452000</v>
      </c>
      <c r="Z3" s="3" t="n">
        <v>3452000</v>
      </c>
    </row>
    <row r="4">
      <c r="B4" s="13" t="inlineStr">
        <is>
          <t>CAPEX (M1)</t>
        </is>
      </c>
      <c r="C4" s="3" t="n">
        <v>-6476000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B5" s="13" t="inlineStr">
        <is>
          <t>OPEX recurrent</t>
        </is>
      </c>
      <c r="C5" s="3" t="n">
        <v>-1464500</v>
      </c>
      <c r="D5" s="3" t="n">
        <v>-1614500</v>
      </c>
      <c r="E5" s="3" t="n">
        <v>-1614500</v>
      </c>
      <c r="F5" s="3" t="n">
        <v>-1614500</v>
      </c>
      <c r="G5" s="3" t="n">
        <v>-1651700</v>
      </c>
      <c r="H5" s="3" t="n">
        <v>-1698500</v>
      </c>
      <c r="I5" s="3" t="n">
        <v>-1533600</v>
      </c>
      <c r="J5" s="3" t="n">
        <v>-1568700</v>
      </c>
      <c r="K5" s="3" t="n">
        <v>-1592100</v>
      </c>
      <c r="L5" s="3" t="n">
        <v>-1615500</v>
      </c>
      <c r="M5" s="3" t="n">
        <v>-1638900</v>
      </c>
      <c r="N5" s="3" t="n">
        <v>-1662300</v>
      </c>
      <c r="O5" s="3" t="n">
        <v>-1690700</v>
      </c>
      <c r="P5" s="3" t="n">
        <v>-1714100</v>
      </c>
      <c r="Q5" s="3" t="n">
        <v>-1737500</v>
      </c>
      <c r="R5" s="3" t="n">
        <v>-1737500</v>
      </c>
      <c r="S5" s="3" t="n">
        <v>-1737500</v>
      </c>
      <c r="T5" s="3" t="n">
        <v>-1737500</v>
      </c>
      <c r="U5" s="3" t="n">
        <v>-1737500</v>
      </c>
      <c r="V5" s="3" t="n">
        <v>-1737500</v>
      </c>
      <c r="W5" s="3" t="n">
        <v>-1737500</v>
      </c>
      <c r="X5" s="3" t="n">
        <v>-1737500</v>
      </c>
      <c r="Y5" s="3" t="n">
        <v>-1737500</v>
      </c>
      <c r="Z5" s="3" t="n">
        <v>-1737500</v>
      </c>
    </row>
    <row r="6">
      <c r="B6" s="13" t="inlineStr">
        <is>
          <t>Resultat avant impot</t>
        </is>
      </c>
      <c r="C6" s="8" t="n">
        <v>-7940500</v>
      </c>
      <c r="D6" s="8" t="n">
        <v>-1253700</v>
      </c>
      <c r="E6" s="8" t="n">
        <v>-892900</v>
      </c>
      <c r="F6" s="8" t="n">
        <v>-532100</v>
      </c>
      <c r="G6" s="8" t="n">
        <v>-208500</v>
      </c>
      <c r="H6" s="8" t="n">
        <v>105500</v>
      </c>
      <c r="I6" s="8" t="n">
        <v>541000</v>
      </c>
      <c r="J6" s="8" t="n">
        <v>776500</v>
      </c>
      <c r="K6" s="8" t="n">
        <v>933500</v>
      </c>
      <c r="L6" s="8" t="n">
        <v>1090500</v>
      </c>
      <c r="M6" s="8" t="n">
        <v>1247500</v>
      </c>
      <c r="N6" s="8" t="n">
        <v>1404500</v>
      </c>
      <c r="O6" s="8" t="n">
        <v>1416100</v>
      </c>
      <c r="P6" s="8" t="n">
        <v>1565300</v>
      </c>
      <c r="Q6" s="8" t="n">
        <v>1714500</v>
      </c>
      <c r="R6" s="8" t="n">
        <v>1714500</v>
      </c>
      <c r="S6" s="8" t="n">
        <v>1714500</v>
      </c>
      <c r="T6" s="8" t="n">
        <v>1714500</v>
      </c>
      <c r="U6" s="8" t="n">
        <v>1714500</v>
      </c>
      <c r="V6" s="8" t="n">
        <v>1714500</v>
      </c>
      <c r="W6" s="8" t="n">
        <v>1714500</v>
      </c>
      <c r="X6" s="8" t="n">
        <v>1714500</v>
      </c>
      <c r="Y6" s="8" t="n">
        <v>1714500</v>
      </c>
      <c r="Z6" s="8" t="n">
        <v>1714500</v>
      </c>
    </row>
    <row r="7">
      <c r="B7" s="13" t="inlineStr">
        <is>
          <t>Tresorerie debut de mois</t>
        </is>
      </c>
      <c r="C7" s="3" t="n">
        <v>11000000</v>
      </c>
      <c r="D7" s="3" t="n">
        <v>3059500</v>
      </c>
      <c r="E7" s="3" t="n">
        <v>1805800</v>
      </c>
      <c r="F7" s="3" t="n">
        <v>912900</v>
      </c>
      <c r="G7" s="3" t="n">
        <v>380800</v>
      </c>
      <c r="H7" s="3" t="n">
        <v>172300</v>
      </c>
      <c r="I7" s="3" t="n">
        <v>277800</v>
      </c>
      <c r="J7" s="3" t="n">
        <v>818800</v>
      </c>
      <c r="K7" s="3" t="n">
        <v>1595300</v>
      </c>
      <c r="L7" s="3" t="n">
        <v>2528800</v>
      </c>
      <c r="M7" s="3" t="n">
        <v>3619300</v>
      </c>
      <c r="N7" s="3" t="n">
        <v>4866800</v>
      </c>
      <c r="O7" s="3" t="n">
        <v>6271300</v>
      </c>
      <c r="P7" s="3" t="n">
        <v>7687400</v>
      </c>
      <c r="Q7" s="3" t="n">
        <v>9252700</v>
      </c>
      <c r="R7" s="3" t="n">
        <v>10967200</v>
      </c>
      <c r="S7" s="3" t="n">
        <v>12681700</v>
      </c>
      <c r="T7" s="3" t="n">
        <v>14396200</v>
      </c>
      <c r="U7" s="3" t="n">
        <v>16110700</v>
      </c>
      <c r="V7" s="3" t="n">
        <v>17825200</v>
      </c>
      <c r="W7" s="3" t="n">
        <v>19539700</v>
      </c>
      <c r="X7" s="3" t="n">
        <v>21254200</v>
      </c>
      <c r="Y7" s="3" t="n">
        <v>22968700</v>
      </c>
      <c r="Z7" s="3" t="n">
        <v>24683200</v>
      </c>
    </row>
    <row r="8">
      <c r="B8" s="13" t="inlineStr">
        <is>
          <t>Tresorerie fin de mois</t>
        </is>
      </c>
      <c r="C8" s="9" t="n">
        <v>3059500</v>
      </c>
      <c r="D8" s="9" t="n">
        <v>1805800</v>
      </c>
      <c r="E8" s="9" t="n">
        <v>912900</v>
      </c>
      <c r="F8" s="9" t="n">
        <v>380800</v>
      </c>
      <c r="G8" s="9" t="n">
        <v>172300</v>
      </c>
      <c r="H8" s="9" t="n">
        <v>277800</v>
      </c>
      <c r="I8" s="9" t="n">
        <v>818800</v>
      </c>
      <c r="J8" s="9" t="n">
        <v>1595300</v>
      </c>
      <c r="K8" s="9" t="n">
        <v>2528800</v>
      </c>
      <c r="L8" s="9" t="n">
        <v>3619300</v>
      </c>
      <c r="M8" s="9" t="n">
        <v>4866800</v>
      </c>
      <c r="N8" s="9" t="n">
        <v>6271300</v>
      </c>
      <c r="O8" s="9" t="n">
        <v>7687400</v>
      </c>
      <c r="P8" s="9" t="n">
        <v>9252700</v>
      </c>
      <c r="Q8" s="9" t="n">
        <v>10967200</v>
      </c>
      <c r="R8" s="9" t="n">
        <v>12681700</v>
      </c>
      <c r="S8" s="9" t="n">
        <v>14396200</v>
      </c>
      <c r="T8" s="9" t="n">
        <v>16110700</v>
      </c>
      <c r="U8" s="9" t="n">
        <v>17825200</v>
      </c>
      <c r="V8" s="9" t="n">
        <v>19539700</v>
      </c>
      <c r="W8" s="9" t="n">
        <v>21254200</v>
      </c>
      <c r="X8" s="9" t="n">
        <v>22968700</v>
      </c>
      <c r="Y8" s="9" t="n">
        <v>24683200</v>
      </c>
      <c r="Z8" s="9" t="n">
        <v>26397700</v>
      </c>
    </row>
    <row r="11">
      <c r="B11" s="5" t="inlineStr">
        <is>
          <t>SYNTHESE</t>
        </is>
      </c>
    </row>
    <row r="12">
      <c r="B12" s="13" t="inlineStr">
        <is>
          <t>Recettes An 1</t>
        </is>
      </c>
      <c r="C12" s="8" t="n">
        <v>21016600</v>
      </c>
    </row>
    <row r="13">
      <c r="B13" s="13" t="inlineStr">
        <is>
          <t>Recettes An 2</t>
        </is>
      </c>
      <c r="C13" s="8" t="n">
        <v>40906200</v>
      </c>
    </row>
    <row r="14">
      <c r="B14" s="13" t="inlineStr">
        <is>
          <t>Charges An 1 (CAPEX+OPEX)</t>
        </is>
      </c>
      <c r="C14" s="8" t="n">
        <v>25745300</v>
      </c>
    </row>
    <row r="15">
      <c r="B15" s="13" t="inlineStr">
        <is>
          <t>Charges An 2</t>
        </is>
      </c>
      <c r="C15" s="8" t="n">
        <v>20779800</v>
      </c>
    </row>
    <row r="16">
      <c r="B16" s="13" t="inlineStr">
        <is>
          <t>Resultat An 1</t>
        </is>
      </c>
      <c r="C16" s="8" t="n">
        <v>-4728700</v>
      </c>
    </row>
    <row r="17">
      <c r="B17" s="13" t="inlineStr">
        <is>
          <t>Resultat An 2 avant IS</t>
        </is>
      </c>
      <c r="C17" s="8" t="n">
        <v>20126400</v>
      </c>
    </row>
    <row r="18">
      <c r="B18" s="13" t="inlineStr">
        <is>
          <t>IS An 2 (30%)</t>
        </is>
      </c>
      <c r="C18" s="8" t="n">
        <v>-6037920</v>
      </c>
    </row>
    <row r="19">
      <c r="B19" s="5" t="inlineStr">
        <is>
          <t>RESULTAT NET An 2</t>
        </is>
      </c>
      <c r="C19" s="9" t="n">
        <v>14088480</v>
      </c>
    </row>
    <row r="20">
      <c r="B20" s="5" t="inlineStr">
        <is>
          <t>Creux de tresorerie</t>
        </is>
      </c>
      <c r="C20" s="9" t="n">
        <v>172300</v>
      </c>
    </row>
    <row r="21">
      <c r="B21" s="13" t="inlineStr">
        <is>
          <t xml:space="preserve">  (au mois)</t>
        </is>
      </c>
      <c r="C21" s="8" t="n">
        <v>5</v>
      </c>
    </row>
    <row r="22">
      <c r="B22" s="13" t="inlineStr">
        <is>
          <t>Tresorerie fin M24</t>
        </is>
      </c>
      <c r="C22" s="8" t="n">
        <v>26397700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6" customWidth="1" min="4" max="4"/>
  </cols>
  <sheetData>
    <row r="1">
      <c r="B1" s="1" t="inlineStr">
        <is>
          <t>Rendement investisseur - ticket 1 M FCFA (v3)</t>
        </is>
      </c>
    </row>
    <row r="2">
      <c r="B2" t="inlineStr">
        <is>
          <t>Part au capital</t>
        </is>
      </c>
      <c r="C2" s="14" t="n">
        <v>0.03333333333333333</v>
      </c>
    </row>
    <row r="3">
      <c r="B3" t="inlineStr">
        <is>
          <t>Resultat net An 2</t>
        </is>
      </c>
      <c r="C3" s="3" t="n">
        <v>14088480</v>
      </c>
    </row>
    <row r="4">
      <c r="B4" t="inlineStr">
        <is>
          <t>Dividendes An 2 (40%)</t>
        </is>
      </c>
      <c r="C4" s="14" t="n">
        <v>5635392</v>
      </c>
    </row>
    <row r="5">
      <c r="B5" t="inlineStr">
        <is>
          <t>Part investisseur (brut)</t>
        </is>
      </c>
      <c r="C5" s="3" t="n">
        <v>187846.4</v>
      </c>
    </row>
    <row r="6">
      <c r="B6" t="inlineStr">
        <is>
          <t>Dividende net IRCM</t>
        </is>
      </c>
      <c r="C6" s="3" t="n">
        <v>169061.76</v>
      </c>
    </row>
    <row r="7">
      <c r="B7" t="inlineStr">
        <is>
          <t>Dividendes nets cumules ~5 ans</t>
        </is>
      </c>
      <c r="C7" s="3" t="n">
        <v>591716.1599999999</v>
      </c>
    </row>
    <row r="8">
      <c r="B8" t="inlineStr">
        <is>
          <t>Valeur societe a la sortie</t>
        </is>
      </c>
      <c r="C8" s="3" t="n">
        <v>70442400</v>
      </c>
    </row>
    <row r="9">
      <c r="B9" t="inlineStr">
        <is>
          <t>Valeur du ticket a la sortie</t>
        </is>
      </c>
      <c r="C9" s="3" t="n">
        <v>2348080</v>
      </c>
    </row>
    <row r="10">
      <c r="B10" t="inlineStr">
        <is>
          <t>Ticket de depart</t>
        </is>
      </c>
      <c r="C10" s="3" t="n">
        <v>1000000</v>
      </c>
    </row>
    <row r="11">
      <c r="B11" s="5" t="inlineStr">
        <is>
          <t>RETOUR TOTAL (div + plus-value)</t>
        </is>
      </c>
      <c r="C11" s="9" t="n">
        <v>2939796.16</v>
      </c>
    </row>
    <row r="12">
      <c r="B12" s="5" t="inlineStr">
        <is>
          <t>RETOUR NET (gain)</t>
        </is>
      </c>
      <c r="C12" s="9" t="n">
        <v>1939796.16</v>
      </c>
    </row>
    <row r="13">
      <c r="B13" s="5" t="inlineStr">
        <is>
          <t>RETOUR en % du ticket</t>
        </is>
      </c>
      <c r="C13" s="15" t="n">
        <v>1.93979616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2026-07-25T22:36:42Z</dcterms:created>
  <dcterms:modified xmlns:dcterms="http://purl.org/dc/terms/" xmlns:xsi="http://www.w3.org/2001/XMLSchema-instance" xsi:type="dcterms:W3CDTF">2026-07-25T22:36:42Z</dcterms:modified>
</cp:coreProperties>
</file>